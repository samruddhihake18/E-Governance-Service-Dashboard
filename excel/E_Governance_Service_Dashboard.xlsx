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Data Cleaning Summary" sheetId="3" state="visible" r:id="rId5"/>
    <sheet name="Calculations" sheetId="4" state="visible" r:id="rId6"/>
    <sheet name="Chart Data" sheetId="5" state="visible" r:id="rId7"/>
    <sheet name="Dashboard" sheetId="6" state="visible" r:id="rId8"/>
  </sheets>
  <definedNames>
    <definedName function="false" hidden="true" localSheetId="1" name="_xlnm._FilterDatabase" vbProcedure="false">'Cleaned Data'!$A$1:$J$91</definedName>
    <definedName function="false" hidden="true" localSheetId="0" name="_xlnm._FilterDatabase" vbProcedure="false">'Raw Data'!$A$1:$J$95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<sst xmlns="http://schemas.openxmlformats.org/spreadsheetml/2006/main" count="1245" uniqueCount="286">
  <si>
    <t xml:space="preserve">Application_ID</t>
  </si>
  <si>
    <t xml:space="preserve">Citizen_Name</t>
  </si>
  <si>
    <t xml:space="preserve">District</t>
  </si>
  <si>
    <t xml:space="preserve">Service_Type</t>
  </si>
  <si>
    <t xml:space="preserve">Application_Channel</t>
  </si>
  <si>
    <t xml:space="preserve">Application_Date</t>
  </si>
  <si>
    <t xml:space="preserve">Status</t>
  </si>
  <si>
    <t xml:space="preserve">Processing_Days</t>
  </si>
  <si>
    <t xml:space="preserve">Service_Fee</t>
  </si>
  <si>
    <t xml:space="preserve">Satisfaction_Rating</t>
  </si>
  <si>
    <t xml:space="preserve">Colour legend</t>
  </si>
  <si>
    <t xml:space="preserve">EG2026-001</t>
  </si>
  <si>
    <t xml:space="preserve">Santosh Salunkhe</t>
  </si>
  <si>
    <t xml:space="preserve">Pune</t>
  </si>
  <si>
    <t xml:space="preserve">Birth Certificate</t>
  </si>
  <si>
    <t xml:space="preserve">Online</t>
  </si>
  <si>
    <t xml:space="preserve">Approved</t>
  </si>
  <si>
    <t xml:space="preserve">Yellow = missing / inconsistent value</t>
  </si>
  <si>
    <t xml:space="preserve">EG2026-002</t>
  </si>
  <si>
    <t xml:space="preserve">Jyoti Shinde</t>
  </si>
  <si>
    <t xml:space="preserve">Sangli</t>
  </si>
  <si>
    <t xml:space="preserve">Scholarship Application</t>
  </si>
  <si>
    <t xml:space="preserve">Orange = duplicate record</t>
  </si>
  <si>
    <t xml:space="preserve">EG2026-003</t>
  </si>
  <si>
    <t xml:space="preserve">Ajay Bhosale</t>
  </si>
  <si>
    <t xml:space="preserve">Residence Certificate</t>
  </si>
  <si>
    <t xml:space="preserve">Rejected</t>
  </si>
  <si>
    <t xml:space="preserve">EG2026-004</t>
  </si>
  <si>
    <t xml:space="preserve">Sachin Bhosale</t>
  </si>
  <si>
    <t xml:space="preserve">Kolhapur</t>
  </si>
  <si>
    <t xml:space="preserve">CSC Center</t>
  </si>
  <si>
    <t xml:space="preserve">EG2026-005</t>
  </si>
  <si>
    <t xml:space="preserve">Suresh Sawant</t>
  </si>
  <si>
    <t xml:space="preserve">Income Certificate</t>
  </si>
  <si>
    <t xml:space="preserve">Government Office</t>
  </si>
  <si>
    <t xml:space="preserve">EG2026-006</t>
  </si>
  <si>
    <t xml:space="preserve">Omkar Chavan</t>
  </si>
  <si>
    <t xml:space="preserve">EG2026-007</t>
  </si>
  <si>
    <t xml:space="preserve">Yogesh Mohite</t>
  </si>
  <si>
    <t xml:space="preserve">Satara</t>
  </si>
  <si>
    <t xml:space="preserve">EG2026-008</t>
  </si>
  <si>
    <t xml:space="preserve">Sachin Kamble</t>
  </si>
  <si>
    <t xml:space="preserve">kolhapur</t>
  </si>
  <si>
    <t xml:space="preserve">Property Tax</t>
  </si>
  <si>
    <t xml:space="preserve">EG2026-009</t>
  </si>
  <si>
    <t xml:space="preserve">Suresh Kale</t>
  </si>
  <si>
    <t xml:space="preserve">EG2026-010</t>
  </si>
  <si>
    <t xml:space="preserve">Kavita Kamble</t>
  </si>
  <si>
    <t xml:space="preserve">EG2026-011</t>
  </si>
  <si>
    <t xml:space="preserve">Meena Desai</t>
  </si>
  <si>
    <t xml:space="preserve">EG2026-012</t>
  </si>
  <si>
    <t xml:space="preserve">Santosh More</t>
  </si>
  <si>
    <t xml:space="preserve">EG2026-013</t>
  </si>
  <si>
    <t xml:space="preserve">Sneha Mane</t>
  </si>
  <si>
    <t xml:space="preserve">EG2026-014</t>
  </si>
  <si>
    <t xml:space="preserve">Prashant Kulkarni</t>
  </si>
  <si>
    <t xml:space="preserve">Solapur</t>
  </si>
  <si>
    <t xml:space="preserve">EG2026-015</t>
  </si>
  <si>
    <t xml:space="preserve">Kiran Sawant</t>
  </si>
  <si>
    <t xml:space="preserve">EG2026-016</t>
  </si>
  <si>
    <t xml:space="preserve">Pallavi Desai</t>
  </si>
  <si>
    <t xml:space="preserve">EG2026-017</t>
  </si>
  <si>
    <t xml:space="preserve">Rohan Mohite</t>
  </si>
  <si>
    <t xml:space="preserve">EG2026-018</t>
  </si>
  <si>
    <t xml:space="preserve">Rohan Salunkhe</t>
  </si>
  <si>
    <t xml:space="preserve">EG2026-019</t>
  </si>
  <si>
    <t xml:space="preserve">Swati Thorat</t>
  </si>
  <si>
    <t xml:space="preserve">EG2026-020</t>
  </si>
  <si>
    <t xml:space="preserve">Ajay Gaikwad</t>
  </si>
  <si>
    <t xml:space="preserve">Caste Certificate</t>
  </si>
  <si>
    <t xml:space="preserve">EG2026-021</t>
  </si>
  <si>
    <t xml:space="preserve">Madhuri Kale</t>
  </si>
  <si>
    <t xml:space="preserve">Senior Citizen Certificate</t>
  </si>
  <si>
    <t xml:space="preserve">EG2026-022</t>
  </si>
  <si>
    <t xml:space="preserve">Priya Yadav</t>
  </si>
  <si>
    <t xml:space="preserve">EG2026-023</t>
  </si>
  <si>
    <t xml:space="preserve">Pooja Sawant</t>
  </si>
  <si>
    <t xml:space="preserve">EG2026-024</t>
  </si>
  <si>
    <t xml:space="preserve">Prashant Mane</t>
  </si>
  <si>
    <t xml:space="preserve">EG2026-025</t>
  </si>
  <si>
    <t xml:space="preserve">Mahesh Sawant</t>
  </si>
  <si>
    <t xml:space="preserve">EG2026-026</t>
  </si>
  <si>
    <t xml:space="preserve">Yogesh Jadhav</t>
  </si>
  <si>
    <t xml:space="preserve">EG2026-027</t>
  </si>
  <si>
    <t xml:space="preserve">Suresh Patil</t>
  </si>
  <si>
    <t xml:space="preserve">EG2026-028</t>
  </si>
  <si>
    <t xml:space="preserve">Pallavi Thorat</t>
  </si>
  <si>
    <t xml:space="preserve">EG2026-029</t>
  </si>
  <si>
    <t xml:space="preserve">Rekha Chavan</t>
  </si>
  <si>
    <t xml:space="preserve">EG2026-030</t>
  </si>
  <si>
    <t xml:space="preserve">Rekha Kamble</t>
  </si>
  <si>
    <t xml:space="preserve">EG2026-031</t>
  </si>
  <si>
    <t xml:space="preserve">Yogesh Desai</t>
  </si>
  <si>
    <t xml:space="preserve">Pending</t>
  </si>
  <si>
    <t xml:space="preserve">EG2026-032</t>
  </si>
  <si>
    <t xml:space="preserve">Rekha Kale</t>
  </si>
  <si>
    <t xml:space="preserve">Water Connection</t>
  </si>
  <si>
    <t xml:space="preserve">EG2026-033</t>
  </si>
  <si>
    <t xml:space="preserve">Shital Salunkhe</t>
  </si>
  <si>
    <t xml:space="preserve">EG2026-034</t>
  </si>
  <si>
    <t xml:space="preserve">Vijay Joshi</t>
  </si>
  <si>
    <t xml:space="preserve">SANGLI</t>
  </si>
  <si>
    <t xml:space="preserve">EG2026-035</t>
  </si>
  <si>
    <t xml:space="preserve">Dattatray Gaikwad</t>
  </si>
  <si>
    <t xml:space="preserve">EG2026-036</t>
  </si>
  <si>
    <t xml:space="preserve">Sunita Pawar</t>
  </si>
  <si>
    <t xml:space="preserve">EG2026-037</t>
  </si>
  <si>
    <t xml:space="preserve">Kiran Mane</t>
  </si>
  <si>
    <t xml:space="preserve">EG2026-038</t>
  </si>
  <si>
    <t xml:space="preserve">Kiran Chavan</t>
  </si>
  <si>
    <t xml:space="preserve">EG2026-039</t>
  </si>
  <si>
    <t xml:space="preserve">Vaishali Gaikwad</t>
  </si>
  <si>
    <t xml:space="preserve">EG2026-040</t>
  </si>
  <si>
    <t xml:space="preserve">Ajay Salunkhe</t>
  </si>
  <si>
    <t xml:space="preserve">EG2026-041</t>
  </si>
  <si>
    <t xml:space="preserve">Madhuri Joshi</t>
  </si>
  <si>
    <t xml:space="preserve">EG2026-042</t>
  </si>
  <si>
    <t xml:space="preserve">Shital Chavan</t>
  </si>
  <si>
    <t xml:space="preserve">EG2026-043</t>
  </si>
  <si>
    <t xml:space="preserve">Santosh Sawant</t>
  </si>
  <si>
    <t xml:space="preserve">EG2026-044</t>
  </si>
  <si>
    <t xml:space="preserve">Pravin Mohite</t>
  </si>
  <si>
    <t xml:space="preserve">EG2026-045</t>
  </si>
  <si>
    <t xml:space="preserve">Yogesh Kamble</t>
  </si>
  <si>
    <t xml:space="preserve">EG2026-046</t>
  </si>
  <si>
    <t xml:space="preserve">Rekha Patil</t>
  </si>
  <si>
    <t xml:space="preserve">EG2026-047</t>
  </si>
  <si>
    <t xml:space="preserve">Meena Yadav</t>
  </si>
  <si>
    <t xml:space="preserve">EG2026-048</t>
  </si>
  <si>
    <t xml:space="preserve">Pallavi Mane</t>
  </si>
  <si>
    <t xml:space="preserve">EG2026-049</t>
  </si>
  <si>
    <t xml:space="preserve">Santosh Joshi</t>
  </si>
  <si>
    <t xml:space="preserve">EG2026-050</t>
  </si>
  <si>
    <t xml:space="preserve">Rekha Sawant</t>
  </si>
  <si>
    <t xml:space="preserve">EG2026-051</t>
  </si>
  <si>
    <t xml:space="preserve">Archana Salunkhe</t>
  </si>
  <si>
    <t xml:space="preserve">EG2026-052</t>
  </si>
  <si>
    <t xml:space="preserve">Anita Bhosale</t>
  </si>
  <si>
    <t xml:space="preserve">Pune </t>
  </si>
  <si>
    <t xml:space="preserve">EG2026-053</t>
  </si>
  <si>
    <t xml:space="preserve">Tushar Mohite</t>
  </si>
  <si>
    <t xml:space="preserve">EG2026-054</t>
  </si>
  <si>
    <t xml:space="preserve">Santosh Mohite</t>
  </si>
  <si>
    <t xml:space="preserve">EG2026-055</t>
  </si>
  <si>
    <t xml:space="preserve">Sneha Kulkarni</t>
  </si>
  <si>
    <t xml:space="preserve">EG2026-056</t>
  </si>
  <si>
    <t xml:space="preserve">Rohan Joshi</t>
  </si>
  <si>
    <t xml:space="preserve">EG2026-057</t>
  </si>
  <si>
    <t xml:space="preserve">Prashant Mohite</t>
  </si>
  <si>
    <t xml:space="preserve">EG2026-058</t>
  </si>
  <si>
    <t xml:space="preserve">Vijay Thorat</t>
  </si>
  <si>
    <t xml:space="preserve">EG2026-059</t>
  </si>
  <si>
    <t xml:space="preserve">Ganesh Yadav</t>
  </si>
  <si>
    <t xml:space="preserve">EG2026-060</t>
  </si>
  <si>
    <t xml:space="preserve">Dattatray Salunkhe</t>
  </si>
  <si>
    <t xml:space="preserve">EG2026-061</t>
  </si>
  <si>
    <t xml:space="preserve">Pallavi Kamble</t>
  </si>
  <si>
    <t xml:space="preserve">EG2026-062</t>
  </si>
  <si>
    <t xml:space="preserve">Priya Kamble</t>
  </si>
  <si>
    <t xml:space="preserve">EG2026-063</t>
  </si>
  <si>
    <t xml:space="preserve">Pooja Gaikwad</t>
  </si>
  <si>
    <t xml:space="preserve">EG2026-064</t>
  </si>
  <si>
    <t xml:space="preserve">Jyoti Kamble</t>
  </si>
  <si>
    <t xml:space="preserve">EG2026-065</t>
  </si>
  <si>
    <t xml:space="preserve">Kavita Yadav</t>
  </si>
  <si>
    <t xml:space="preserve">EG2026-066</t>
  </si>
  <si>
    <t xml:space="preserve">Rohan Kulkarni</t>
  </si>
  <si>
    <t xml:space="preserve">EG2026-067</t>
  </si>
  <si>
    <t xml:space="preserve">Yogesh Thorat</t>
  </si>
  <si>
    <t xml:space="preserve">EG2026-068</t>
  </si>
  <si>
    <t xml:space="preserve">Sachin More</t>
  </si>
  <si>
    <t xml:space="preserve">EG2026-069</t>
  </si>
  <si>
    <t xml:space="preserve">Manisha Desai</t>
  </si>
  <si>
    <t xml:space="preserve">Sholapur</t>
  </si>
  <si>
    <t xml:space="preserve">EG2026-070</t>
  </si>
  <si>
    <t xml:space="preserve">Rahul Gaikwad</t>
  </si>
  <si>
    <t xml:space="preserve">EG2026-071</t>
  </si>
  <si>
    <t xml:space="preserve">Vaishali Deshmukh</t>
  </si>
  <si>
    <t xml:space="preserve">EG2026-072</t>
  </si>
  <si>
    <t xml:space="preserve">Rahul More</t>
  </si>
  <si>
    <t xml:space="preserve">EG2026-073</t>
  </si>
  <si>
    <t xml:space="preserve">Archana Chavan</t>
  </si>
  <si>
    <t xml:space="preserve">EG2026-074</t>
  </si>
  <si>
    <t xml:space="preserve">Suresh Salunkhe</t>
  </si>
  <si>
    <t xml:space="preserve">EG2026-075</t>
  </si>
  <si>
    <t xml:space="preserve">Meena Deshmukh</t>
  </si>
  <si>
    <t xml:space="preserve">EG2026-076</t>
  </si>
  <si>
    <t xml:space="preserve">Anita Desai</t>
  </si>
  <si>
    <t xml:space="preserve">EG2026-077</t>
  </si>
  <si>
    <t xml:space="preserve">Sneha Gaikwad</t>
  </si>
  <si>
    <t xml:space="preserve">EG2026-078</t>
  </si>
  <si>
    <t xml:space="preserve">Ganesh Pawar</t>
  </si>
  <si>
    <t xml:space="preserve">EG2026-079</t>
  </si>
  <si>
    <t xml:space="preserve">Dattatray Kale</t>
  </si>
  <si>
    <t xml:space="preserve">EG2026-080</t>
  </si>
  <si>
    <t xml:space="preserve">Omkar Sawant</t>
  </si>
  <si>
    <t xml:space="preserve">EG2026-081</t>
  </si>
  <si>
    <t xml:space="preserve">Shital Sawant</t>
  </si>
  <si>
    <t xml:space="preserve">EG2026-082</t>
  </si>
  <si>
    <t xml:space="preserve">Meena Sawant</t>
  </si>
  <si>
    <t xml:space="preserve">EG2026-083</t>
  </si>
  <si>
    <t xml:space="preserve">Madhuri More</t>
  </si>
  <si>
    <t xml:space="preserve">EG2026-084</t>
  </si>
  <si>
    <t xml:space="preserve">Rohan Sawant</t>
  </si>
  <si>
    <t xml:space="preserve">EG2026-085</t>
  </si>
  <si>
    <t xml:space="preserve">Anita Mane</t>
  </si>
  <si>
    <t xml:space="preserve">EG2026-086</t>
  </si>
  <si>
    <t xml:space="preserve">Omkar Desai</t>
  </si>
  <si>
    <t xml:space="preserve">EG2026-087</t>
  </si>
  <si>
    <t xml:space="preserve">Sunita Salunkhe</t>
  </si>
  <si>
    <t xml:space="preserve">EG2026-088</t>
  </si>
  <si>
    <t xml:space="preserve">Ganesh Kamble</t>
  </si>
  <si>
    <t xml:space="preserve">EG2026-089</t>
  </si>
  <si>
    <t xml:space="preserve">Shital Desai</t>
  </si>
  <si>
    <t xml:space="preserve">EG2026-090</t>
  </si>
  <si>
    <t xml:space="preserve">Jyoti Joshi</t>
  </si>
  <si>
    <t xml:space="preserve">Green = value filled during cleaning</t>
  </si>
  <si>
    <t xml:space="preserve">Data Cleaning Summary</t>
  </si>
  <si>
    <t xml:space="preserve">Item</t>
  </si>
  <si>
    <t xml:space="preserve">Value</t>
  </si>
  <si>
    <t xml:space="preserve">Remark</t>
  </si>
  <si>
    <t xml:space="preserve">Original Records</t>
  </si>
  <si>
    <t xml:space="preserve">Rows in raw_e_governance_data.csv</t>
  </si>
  <si>
    <t xml:space="preserve">Records After Cleaning</t>
  </si>
  <si>
    <t xml:space="preserve">Rows in cleaned_e_governance_data.csv</t>
  </si>
  <si>
    <t xml:space="preserve">Duplicate Records Removed</t>
  </si>
  <si>
    <t xml:space="preserve">Same Application_ID and same details repeated: EG2026-006, EG2026-029, EG2026-047, EG2026-072</t>
  </si>
  <si>
    <t xml:space="preserve">Missing Values Found - Service_Type</t>
  </si>
  <si>
    <t xml:space="preserve">Filled with mode (most frequent service)</t>
  </si>
  <si>
    <t xml:space="preserve">Missing Values Found - Processing_Days</t>
  </si>
  <si>
    <t xml:space="preserve">Filled with median</t>
  </si>
  <si>
    <t xml:space="preserve">Missing Values Found - Satisfaction_Rating</t>
  </si>
  <si>
    <t xml:space="preserve">Total Missing Values Found</t>
  </si>
  <si>
    <t xml:space="preserve">Missing Values Remaining After Cleaning</t>
  </si>
  <si>
    <t xml:space="preserve">Should be 0</t>
  </si>
  <si>
    <t xml:space="preserve">Value used: Mode of Service_Type</t>
  </si>
  <si>
    <t xml:space="preserve">Calculated on the data after removing duplicates</t>
  </si>
  <si>
    <t xml:space="preserve">Value used: Median of Processing_Days</t>
  </si>
  <si>
    <t xml:space="preserve">Value used: Median of Satisfaction_Rating</t>
  </si>
  <si>
    <t xml:space="preserve">Inconsistent District Values Corrected</t>
  </si>
  <si>
    <t xml:space="preserve">kolhapur -&gt; Kolhapur, SANGLI -&gt; Sangli, "Pune " -&gt; Pune, Sholapur -&gt; Solapur</t>
  </si>
  <si>
    <t xml:space="preserve">KPI Calculations (all formulas use the Cleaned Data sheet)</t>
  </si>
  <si>
    <t xml:space="preserve">KPI</t>
  </si>
  <si>
    <t xml:space="preserve">Formula meaning</t>
  </si>
  <si>
    <t xml:space="preserve">Total Applications</t>
  </si>
  <si>
    <t xml:space="preserve">Count of Application_ID</t>
  </si>
  <si>
    <t xml:space="preserve">Approved Applications</t>
  </si>
  <si>
    <t xml:space="preserve">Status = Approved</t>
  </si>
  <si>
    <t xml:space="preserve">Rejected Applications</t>
  </si>
  <si>
    <t xml:space="preserve">Status = Rejected</t>
  </si>
  <si>
    <t xml:space="preserve">Pending Applications</t>
  </si>
  <si>
    <t xml:space="preserve">Status = Pending</t>
  </si>
  <si>
    <t xml:space="preserve">Approval Rate (%)</t>
  </si>
  <si>
    <t xml:space="preserve">Approved / Total x 100</t>
  </si>
  <si>
    <t xml:space="preserve">Average Processing Days</t>
  </si>
  <si>
    <t xml:space="preserve">Average of Processing_Days</t>
  </si>
  <si>
    <t xml:space="preserve">Average Satisfaction Rating</t>
  </si>
  <si>
    <t xml:space="preserve">Average of Satisfaction_Rating</t>
  </si>
  <si>
    <t xml:space="preserve">Total Service Fee Collected (Rs.)</t>
  </si>
  <si>
    <t xml:space="preserve">Sum of Service_Fee</t>
  </si>
  <si>
    <t xml:space="preserve">Chart Data (formulas)</t>
  </si>
  <si>
    <t xml:space="preserve">1. Applications by District</t>
  </si>
  <si>
    <t xml:space="preserve">Applications</t>
  </si>
  <si>
    <t xml:space="preserve">2. Application Status</t>
  </si>
  <si>
    <t xml:space="preserve">3. Monthly Applications</t>
  </si>
  <si>
    <t xml:space="preserve">Month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</si>
  <si>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</si>
  <si>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</si>
  <si>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</si>
  <si>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</si>
  <si>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</si>
  <si>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</si>
  <si>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</si>
  <si>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</si>
  <si>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4. Applications by Service Type</t>
  </si>
  <si>
    <t xml:space="preserve">Service Type</t>
  </si>
  <si>
    <t xml:space="preserve">5. Average Processing Days by Service</t>
  </si>
  <si>
    <t xml:space="preserve">Avg Days</t>
  </si>
  <si>
    <t xml:space="preserve">6. Applications by Channel</t>
  </si>
  <si>
    <t xml:space="preserve">Channel</t>
  </si>
  <si>
    <t xml:space="preserve">7. Average Satisfaction by District</t>
  </si>
  <si>
    <t xml:space="preserve">Avg Rating</t>
  </si>
  <si>
    <t xml:space="preserve">E-Governance Service Dashboard</t>
  </si>
  <si>
    <t xml:space="preserve">Citizen applications for government services | Data: Cleaned Data sheet | Use the filter arrows on the Cleaned Data sheet to explore records</t>
  </si>
  <si>
    <t xml:space="preserve">Avg Processing Days</t>
  </si>
  <si>
    <t xml:space="preserve">Avg Satisfaction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</si>
</sst>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General"/>
    <numFmt numFmtId="167" formatCode="0.0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A8"/>
        <bgColor rgb="FFFFFFCC"/>
      </patternFill>
    </fill>
    <fill>
      <patternFill patternType="solid">
        <fgColor rgb="FFF8CBAD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EAF0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EAF0F6"/>
      <rgbColor rgb="FF660066"/>
      <rgbColor rgb="FFFF8080"/>
      <rgbColor rgb="FF2F6E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8"/>
      <rgbColor rgb="FF99CCFF"/>
      <rgbColor rgb="FFFF99CC"/>
      <rgbColor rgb="FFCC99FF"/>
      <rgbColor rgb="FFF8CBAD"/>
      <rgbColor rgb="FF4A7EBB"/>
      <rgbColor rgb="FF33CCCC"/>
      <rgbColor rgb="FF9BBB59"/>
      <rgbColor rgb="FFFFCC00"/>
      <rgbColor rgb="FFE08A1E"/>
      <rgbColor rgb="FFFF6600"/>
      <rgbColor rgb="FF8E6BBF"/>
      <rgbColor rgb="FF4F81BD"/>
      <rgbColor rgb="FF003366"/>
      <rgbColor rgb="FF3A9D6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Applications by District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Data'!B4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2f6e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Data'!$A$5:$A$9</c:f>
              <c:strCache>
                <c:ptCount val="5"/>
                <c:pt idx="0">
                  <c:v>Sangli</c:v>
                </c:pt>
                <c:pt idx="1">
                  <c:v>Pune</c:v>
                </c:pt>
                <c:pt idx="2">
                  <c:v>Kolhapur</c:v>
                </c:pt>
                <c:pt idx="3">
                  <c:v>Solapur</c:v>
                </c:pt>
                <c:pt idx="4">
                  <c:v>Satara</c:v>
                </c:pt>
              </c:strCache>
            </c:strRef>
          </c:cat>
          <c:val>
            <c:numRef>
              <c:f>'Chart Data'!$B$5:$B$9</c:f>
              <c:numCache>
                <c:formatCode>General</c:formatCode>
                <c:ptCount val="5"/>
                <c:pt idx="0">
                  <c:v>26</c:v>
                </c:pt>
                <c:pt idx="1">
                  <c:v>22</c:v>
                </c:pt>
                <c:pt idx="2">
                  <c:v>19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</c:ser>
        <c:gapWidth val="150"/>
        <c:overlap val="0"/>
        <c:axId val="92497460"/>
        <c:axId val="83534114"/>
      </c:barChart>
      <c:catAx>
        <c:axId val="92497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District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34114"/>
        <c:crosses val="autoZero"/>
        <c:auto val="1"/>
        <c:lblAlgn val="ctr"/>
        <c:lblOffset val="100"/>
        <c:noMultiLvlLbl val="0"/>
      </c:catAx>
      <c:valAx>
        <c:axId val="83534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974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Data'!B13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'Chart Data'!$A$14:$A$16</c:f>
              <c:strCache>
                <c:ptCount val="3"/>
                <c:pt idx="0">
                  <c:v>Approved</c:v>
                </c:pt>
                <c:pt idx="1">
                  <c:v>Rejected</c:v>
                </c:pt>
                <c:pt idx="2">
                  <c:v>Pending</c:v>
                </c:pt>
              </c:strCache>
            </c:strRef>
          </c:cat>
          <c:val>
            <c:numRef>
              <c:f>'Chart Data'!$B$14:$B$16</c:f>
              <c:numCache>
                <c:formatCode>General</c:formatCode>
                <c:ptCount val="3"/>
                <c:pt idx="0">
                  <c:v>66</c:v>
                </c:pt>
                <c:pt idx="1">
                  <c:v>7</c:v>
                </c:pt>
                <c:pt idx="2">
                  <c:v>17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Applications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Data'!B19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Data'!$A$20:$A$27</c:f>
              <c:strCache>
                <c:ptCount val="8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</c:strCache>
            </c:strRef>
          </c:cat>
          <c:val>
            <c:numRef>
              <c:f>'Chart Data'!$B$20:$B$27</c:f>
              <c:numCache>
                <c:formatCode>General</c:formatCode>
                <c:ptCount val="8"/>
                <c:pt idx="0">
                  <c:v>5</c:v>
                </c:pt>
                <c:pt idx="1">
                  <c:v>17</c:v>
                </c:pt>
                <c:pt idx="2">
                  <c:v>12</c:v>
                </c:pt>
                <c:pt idx="3">
                  <c:v>7</c:v>
                </c:pt>
                <c:pt idx="4">
                  <c:v>12</c:v>
                </c:pt>
                <c:pt idx="5">
                  <c:v>7</c:v>
                </c:pt>
                <c:pt idx="6">
                  <c:v>12</c:v>
                </c:pt>
                <c:pt idx="7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0567270"/>
        <c:axId val="62241685"/>
      </c:lineChart>
      <c:catAx>
        <c:axId val="50567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41685"/>
        <c:crosses val="autoZero"/>
        <c:auto val="1"/>
        <c:lblAlgn val="ctr"/>
        <c:lblOffset val="100"/>
        <c:noMultiLvlLbl val="0"/>
      </c:catAx>
      <c:valAx>
        <c:axId val="62241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67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Applications by Service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Data'!B31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3a9d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Data'!$A$32:$A$39</c:f>
              <c:strCache>
                <c:ptCount val="8"/>
                <c:pt idx="0">
                  <c:v>Property Tax</c:v>
                </c:pt>
                <c:pt idx="1">
                  <c:v>Residence Certificate</c:v>
                </c:pt>
                <c:pt idx="2">
                  <c:v>Scholarship Application</c:v>
                </c:pt>
                <c:pt idx="3">
                  <c:v>Income Certificate</c:v>
                </c:pt>
                <c:pt idx="4">
                  <c:v>Caste Certificate</c:v>
                </c:pt>
                <c:pt idx="5">
                  <c:v>Birth Certificate</c:v>
                </c:pt>
                <c:pt idx="6">
                  <c:v>Senior Citizen Certificate</c:v>
                </c:pt>
                <c:pt idx="7">
                  <c:v>Water Connection</c:v>
                </c:pt>
              </c:strCache>
            </c:strRef>
          </c:cat>
          <c:val>
            <c:numRef>
              <c:f>'Chart Data'!$B$32:$B$39</c:f>
              <c:numCache>
                <c:formatCode>General</c:formatCode>
                <c:ptCount val="8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70236902"/>
        <c:axId val="51439594"/>
      </c:barChart>
      <c:catAx>
        <c:axId val="702369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39594"/>
        <c:crosses val="autoZero"/>
        <c:auto val="1"/>
        <c:lblAlgn val="ctr"/>
        <c:lblOffset val="100"/>
        <c:noMultiLvlLbl val="0"/>
      </c:catAx>
      <c:valAx>
        <c:axId val="51439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Applications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36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Processing Days by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Data'!B42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Data'!$A$43:$A$50</c:f>
              <c:strCache>
                <c:ptCount val="8"/>
                <c:pt idx="0">
                  <c:v>Property Tax</c:v>
                </c:pt>
                <c:pt idx="1">
                  <c:v>Residence Certificate</c:v>
                </c:pt>
                <c:pt idx="2">
                  <c:v>Scholarship Application</c:v>
                </c:pt>
                <c:pt idx="3">
                  <c:v>Income Certificate</c:v>
                </c:pt>
                <c:pt idx="4">
                  <c:v>Caste Certificate</c:v>
                </c:pt>
                <c:pt idx="5">
                  <c:v>Birth Certificate</c:v>
                </c:pt>
                <c:pt idx="6">
                  <c:v>Senior Citizen Certificate</c:v>
                </c:pt>
                <c:pt idx="7">
                  <c:v>Water Connection</c:v>
                </c:pt>
              </c:strCache>
            </c:strRef>
          </c:cat>
          <c:val>
            <c:numRef>
              <c:f>'Chart Data'!$B$43:$B$50</c:f>
              <c:numCache>
                <c:formatCode>0.0</c:formatCode>
                <c:ptCount val="8"/>
                <c:pt idx="0">
                  <c:v>4.4</c:v>
                </c:pt>
                <c:pt idx="1">
                  <c:v>5.8</c:v>
                </c:pt>
                <c:pt idx="2">
                  <c:v>11.8</c:v>
                </c:pt>
                <c:pt idx="3">
                  <c:v>6.7</c:v>
                </c:pt>
                <c:pt idx="4">
                  <c:v>8.7</c:v>
                </c:pt>
                <c:pt idx="5">
                  <c:v>4.4</c:v>
                </c:pt>
                <c:pt idx="6">
                  <c:v>6.5</c:v>
                </c:pt>
                <c:pt idx="7">
                  <c:v>13.8</c:v>
                </c:pt>
              </c:numCache>
            </c:numRef>
          </c:val>
        </c:ser>
        <c:gapWidth val="150"/>
        <c:overlap val="0"/>
        <c:axId val="43060845"/>
        <c:axId val="30889163"/>
      </c:barChart>
      <c:catAx>
        <c:axId val="43060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89163"/>
        <c:crosses val="autoZero"/>
        <c:auto val="1"/>
        <c:lblAlgn val="ctr"/>
        <c:lblOffset val="100"/>
        <c:noMultiLvlLbl val="0"/>
      </c:catAx>
      <c:valAx>
        <c:axId val="30889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608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Data'!B53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'Chart Data'!$A$54:$A$56</c:f>
              <c:strCache>
                <c:ptCount val="3"/>
                <c:pt idx="0">
                  <c:v>Online</c:v>
                </c:pt>
                <c:pt idx="1">
                  <c:v>CSC Center</c:v>
                </c:pt>
                <c:pt idx="2">
                  <c:v>Government Office</c:v>
                </c:pt>
              </c:strCache>
            </c:strRef>
          </c:cat>
          <c:val>
            <c:numRef>
              <c:f>'Chart Data'!$B$54:$B$56</c:f>
              <c:numCache>
                <c:formatCode>General</c:formatCode>
                <c:ptCount val="3"/>
                <c:pt idx="0">
                  <c:v>39</c:v>
                </c:pt>
                <c:pt idx="1">
                  <c:v>26</c:v>
                </c:pt>
                <c:pt idx="2">
                  <c:v>25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Satisfaction by District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Data'!B59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8e6b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Data'!$A$60:$A$64</c:f>
              <c:strCache>
                <c:ptCount val="5"/>
                <c:pt idx="0">
                  <c:v>Sangli</c:v>
                </c:pt>
                <c:pt idx="1">
                  <c:v>Pune</c:v>
                </c:pt>
                <c:pt idx="2">
                  <c:v>Kolhapur</c:v>
                </c:pt>
                <c:pt idx="3">
                  <c:v>Solapur</c:v>
                </c:pt>
                <c:pt idx="4">
                  <c:v>Satara</c:v>
                </c:pt>
              </c:strCache>
            </c:strRef>
          </c:cat>
          <c:val>
            <c:numRef>
              <c:f>'Chart Data'!$B$60:$B$64</c:f>
              <c:numCache>
                <c:formatCode>0.00</c:formatCode>
                <c:ptCount val="5"/>
                <c:pt idx="0">
                  <c:v>3.77</c:v>
                </c:pt>
                <c:pt idx="1">
                  <c:v>3.86</c:v>
                </c:pt>
                <c:pt idx="2">
                  <c:v>3.47</c:v>
                </c:pt>
                <c:pt idx="3">
                  <c:v>3.75</c:v>
                </c:pt>
                <c:pt idx="4">
                  <c:v>3.82</c:v>
                </c:pt>
              </c:numCache>
            </c:numRef>
          </c:val>
        </c:ser>
        <c:gapWidth val="150"/>
        <c:overlap val="0"/>
        <c:axId val="21175644"/>
        <c:axId val="73831697"/>
      </c:barChart>
      <c:catAx>
        <c:axId val="21175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District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31697"/>
        <c:crosses val="autoZero"/>
        <c:auto val="1"/>
        <c:lblAlgn val="ctr"/>
        <c:lblOffset val="100"/>
        <c:noMultiLvlLbl val="0"/>
      </c:catAx>
      <c:valAx>
        <c:axId val="73831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75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70560</xdr:rowOff>
    </xdr:from>
    <xdr:to>
      <xdr:col>6</xdr:col>
      <xdr:colOff>387720</xdr:colOff>
      <xdr:row>20</xdr:row>
      <xdr:rowOff>102960</xdr:rowOff>
    </xdr:to>
    <xdr:graphicFrame>
      <xdr:nvGraphicFramePr>
        <xdr:cNvPr id="0" name="Chart 1"/>
        <xdr:cNvGraphicFramePr/>
      </xdr:nvGraphicFramePr>
      <xdr:xfrm>
        <a:off x="0" y="1333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70560</xdr:rowOff>
    </xdr:from>
    <xdr:to>
      <xdr:col>13</xdr:col>
      <xdr:colOff>387720</xdr:colOff>
      <xdr:row>20</xdr:row>
      <xdr:rowOff>102960</xdr:rowOff>
    </xdr:to>
    <xdr:graphicFrame>
      <xdr:nvGraphicFramePr>
        <xdr:cNvPr id="1" name="Chart 2"/>
        <xdr:cNvGraphicFramePr/>
      </xdr:nvGraphicFramePr>
      <xdr:xfrm>
        <a:off x="5427360" y="1333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70560</xdr:rowOff>
    </xdr:from>
    <xdr:to>
      <xdr:col>13</xdr:col>
      <xdr:colOff>180360</xdr:colOff>
      <xdr:row>36</xdr:row>
      <xdr:rowOff>103320</xdr:rowOff>
    </xdr:to>
    <xdr:graphicFrame>
      <xdr:nvGraphicFramePr>
        <xdr:cNvPr id="2" name="Chart 3"/>
        <xdr:cNvGraphicFramePr/>
      </xdr:nvGraphicFramePr>
      <xdr:xfrm>
        <a:off x="0" y="4381560"/>
        <a:ext cx="102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38</xdr:row>
      <xdr:rowOff>70560</xdr:rowOff>
    </xdr:from>
    <xdr:to>
      <xdr:col>6</xdr:col>
      <xdr:colOff>387720</xdr:colOff>
      <xdr:row>52</xdr:row>
      <xdr:rowOff>103320</xdr:rowOff>
    </xdr:to>
    <xdr:graphicFrame>
      <xdr:nvGraphicFramePr>
        <xdr:cNvPr id="3" name="Chart 4"/>
        <xdr:cNvGraphicFramePr/>
      </xdr:nvGraphicFramePr>
      <xdr:xfrm>
        <a:off x="0" y="7429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38</xdr:row>
      <xdr:rowOff>70560</xdr:rowOff>
    </xdr:from>
    <xdr:to>
      <xdr:col>13</xdr:col>
      <xdr:colOff>387720</xdr:colOff>
      <xdr:row>52</xdr:row>
      <xdr:rowOff>103320</xdr:rowOff>
    </xdr:to>
    <xdr:graphicFrame>
      <xdr:nvGraphicFramePr>
        <xdr:cNvPr id="4" name="Chart 5"/>
        <xdr:cNvGraphicFramePr/>
      </xdr:nvGraphicFramePr>
      <xdr:xfrm>
        <a:off x="5427360" y="7429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54</xdr:row>
      <xdr:rowOff>70560</xdr:rowOff>
    </xdr:from>
    <xdr:to>
      <xdr:col>6</xdr:col>
      <xdr:colOff>387720</xdr:colOff>
      <xdr:row>68</xdr:row>
      <xdr:rowOff>102960</xdr:rowOff>
    </xdr:to>
    <xdr:graphicFrame>
      <xdr:nvGraphicFramePr>
        <xdr:cNvPr id="5" name="Chart 6"/>
        <xdr:cNvGraphicFramePr/>
      </xdr:nvGraphicFramePr>
      <xdr:xfrm>
        <a:off x="0" y="10477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54</xdr:row>
      <xdr:rowOff>70560</xdr:rowOff>
    </xdr:from>
    <xdr:to>
      <xdr:col>13</xdr:col>
      <xdr:colOff>387720</xdr:colOff>
      <xdr:row>68</xdr:row>
      <xdr:rowOff>102960</xdr:rowOff>
    </xdr:to>
    <xdr:graphicFrame>
      <xdr:nvGraphicFramePr>
        <xdr:cNvPr id="6" name="Chart 7"/>
        <xdr:cNvGraphicFramePr/>
      </xdr:nvGraphicFramePr>
      <xdr:xfrm>
        <a:off x="5427360" y="10477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7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2" min="12" style="0" width="3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n">
        <v>46023</v>
      </c>
      <c r="G2" s="3" t="s">
        <v>16</v>
      </c>
      <c r="H2" s="3" t="n">
        <v>3</v>
      </c>
      <c r="I2" s="3" t="n">
        <v>50</v>
      </c>
      <c r="J2" s="3" t="n">
        <v>5</v>
      </c>
      <c r="L2" s="5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15</v>
      </c>
      <c r="F3" s="4" t="n">
        <v>46025</v>
      </c>
      <c r="G3" s="3" t="s">
        <v>16</v>
      </c>
      <c r="H3" s="3" t="n">
        <v>10</v>
      </c>
      <c r="I3" s="3" t="n">
        <v>0</v>
      </c>
      <c r="J3" s="3" t="n">
        <v>5</v>
      </c>
      <c r="L3" s="6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13</v>
      </c>
      <c r="D4" s="3" t="s">
        <v>25</v>
      </c>
      <c r="E4" s="3" t="s">
        <v>15</v>
      </c>
      <c r="F4" s="4" t="n">
        <v>46026</v>
      </c>
      <c r="G4" s="3" t="s">
        <v>26</v>
      </c>
      <c r="H4" s="3" t="n">
        <v>3</v>
      </c>
      <c r="I4" s="3" t="n">
        <v>30</v>
      </c>
      <c r="J4" s="3" t="n">
        <v>4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21</v>
      </c>
      <c r="E5" s="3" t="s">
        <v>30</v>
      </c>
      <c r="F5" s="4" t="n">
        <v>46029</v>
      </c>
      <c r="G5" s="3" t="s">
        <v>16</v>
      </c>
      <c r="H5" s="3" t="n">
        <v>15</v>
      </c>
      <c r="I5" s="3" t="n">
        <v>0</v>
      </c>
      <c r="J5" s="3" t="n">
        <v>3</v>
      </c>
    </row>
    <row r="6" customFormat="false" ht="15" hidden="false" customHeight="false" outlineLevel="0" collapsed="false">
      <c r="A6" s="3" t="s">
        <v>31</v>
      </c>
      <c r="B6" s="3" t="s">
        <v>32</v>
      </c>
      <c r="C6" s="3" t="s">
        <v>29</v>
      </c>
      <c r="D6" s="3" t="s">
        <v>33</v>
      </c>
      <c r="E6" s="3" t="s">
        <v>34</v>
      </c>
      <c r="F6" s="4" t="n">
        <v>46040</v>
      </c>
      <c r="G6" s="3" t="s">
        <v>26</v>
      </c>
      <c r="H6" s="3" t="n">
        <v>6</v>
      </c>
      <c r="I6" s="3" t="n">
        <v>40</v>
      </c>
      <c r="J6" s="3" t="n">
        <v>2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20</v>
      </c>
      <c r="D7" s="3" t="s">
        <v>14</v>
      </c>
      <c r="E7" s="3" t="s">
        <v>15</v>
      </c>
      <c r="F7" s="4" t="n">
        <v>46054</v>
      </c>
      <c r="G7" s="3" t="s">
        <v>16</v>
      </c>
      <c r="H7" s="3" t="n">
        <v>5</v>
      </c>
      <c r="I7" s="3" t="n">
        <v>40</v>
      </c>
      <c r="J7" s="3" t="n">
        <v>4</v>
      </c>
    </row>
    <row r="8" customFormat="false" ht="15" hidden="false" customHeight="false" outlineLevel="0" collapsed="false">
      <c r="A8" s="7" t="s">
        <v>35</v>
      </c>
      <c r="B8" s="7" t="s">
        <v>36</v>
      </c>
      <c r="C8" s="7" t="s">
        <v>20</v>
      </c>
      <c r="D8" s="7" t="s">
        <v>14</v>
      </c>
      <c r="E8" s="7" t="s">
        <v>15</v>
      </c>
      <c r="F8" s="8" t="n">
        <v>46054</v>
      </c>
      <c r="G8" s="7" t="s">
        <v>16</v>
      </c>
      <c r="H8" s="7" t="n">
        <v>5</v>
      </c>
      <c r="I8" s="7" t="n">
        <v>40</v>
      </c>
      <c r="J8" s="7" t="n">
        <v>4</v>
      </c>
    </row>
    <row r="9" customFormat="false" ht="15" hidden="false" customHeight="false" outlineLevel="0" collapsed="false">
      <c r="A9" s="3" t="s">
        <v>37</v>
      </c>
      <c r="B9" s="3" t="s">
        <v>38</v>
      </c>
      <c r="C9" s="3" t="s">
        <v>39</v>
      </c>
      <c r="D9" s="3" t="s">
        <v>14</v>
      </c>
      <c r="E9" s="3" t="s">
        <v>15</v>
      </c>
      <c r="F9" s="4" t="n">
        <v>46055</v>
      </c>
      <c r="G9" s="3" t="s">
        <v>16</v>
      </c>
      <c r="H9" s="3" t="n">
        <v>3</v>
      </c>
      <c r="I9" s="3" t="n">
        <v>45</v>
      </c>
      <c r="J9" s="3" t="n">
        <v>4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9" t="s">
        <v>42</v>
      </c>
      <c r="D10" s="3" t="s">
        <v>43</v>
      </c>
      <c r="E10" s="3" t="s">
        <v>15</v>
      </c>
      <c r="F10" s="4" t="n">
        <v>46055</v>
      </c>
      <c r="G10" s="3" t="s">
        <v>16</v>
      </c>
      <c r="H10" s="3" t="n">
        <v>2</v>
      </c>
      <c r="I10" s="3" t="n">
        <v>3000</v>
      </c>
      <c r="J10" s="3" t="n">
        <v>4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39</v>
      </c>
      <c r="D11" s="3" t="s">
        <v>25</v>
      </c>
      <c r="E11" s="3" t="s">
        <v>15</v>
      </c>
      <c r="F11" s="4" t="n">
        <v>46055</v>
      </c>
      <c r="G11" s="3" t="s">
        <v>16</v>
      </c>
      <c r="H11" s="3" t="n">
        <v>6</v>
      </c>
      <c r="I11" s="3" t="n">
        <v>35</v>
      </c>
      <c r="J11" s="3" t="n">
        <v>5</v>
      </c>
    </row>
    <row r="12" customFormat="false" ht="15" hidden="false" customHeight="false" outlineLevel="0" collapsed="false">
      <c r="A12" s="3" t="s">
        <v>46</v>
      </c>
      <c r="B12" s="3" t="s">
        <v>47</v>
      </c>
      <c r="C12" s="3" t="s">
        <v>39</v>
      </c>
      <c r="D12" s="3" t="s">
        <v>25</v>
      </c>
      <c r="E12" s="3" t="s">
        <v>34</v>
      </c>
      <c r="F12" s="4" t="n">
        <v>46061</v>
      </c>
      <c r="G12" s="3" t="s">
        <v>16</v>
      </c>
      <c r="H12" s="3" t="n">
        <v>6</v>
      </c>
      <c r="I12" s="3" t="n">
        <v>35</v>
      </c>
      <c r="J12" s="3" t="n">
        <v>5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s">
        <v>29</v>
      </c>
      <c r="D13" s="3" t="s">
        <v>33</v>
      </c>
      <c r="E13" s="3" t="s">
        <v>30</v>
      </c>
      <c r="F13" s="4" t="n">
        <v>46062</v>
      </c>
      <c r="G13" s="3" t="s">
        <v>16</v>
      </c>
      <c r="H13" s="3" t="n">
        <v>5</v>
      </c>
      <c r="I13" s="3" t="n">
        <v>30</v>
      </c>
      <c r="J13" s="3" t="n">
        <v>5</v>
      </c>
    </row>
    <row r="14" customFormat="false" ht="15" hidden="false" customHeight="false" outlineLevel="0" collapsed="false">
      <c r="A14" s="3" t="s">
        <v>50</v>
      </c>
      <c r="B14" s="3" t="s">
        <v>51</v>
      </c>
      <c r="C14" s="3" t="s">
        <v>20</v>
      </c>
      <c r="D14" s="3" t="s">
        <v>33</v>
      </c>
      <c r="E14" s="3" t="s">
        <v>15</v>
      </c>
      <c r="F14" s="4" t="n">
        <v>46062</v>
      </c>
      <c r="G14" s="3" t="s">
        <v>16</v>
      </c>
      <c r="H14" s="3" t="n">
        <v>6</v>
      </c>
      <c r="I14" s="3" t="n">
        <v>35</v>
      </c>
      <c r="J14" s="3" t="n">
        <v>4</v>
      </c>
    </row>
    <row r="15" customFormat="false" ht="15" hidden="false" customHeight="false" outlineLevel="0" collapsed="false">
      <c r="A15" s="3" t="s">
        <v>52</v>
      </c>
      <c r="B15" s="3" t="s">
        <v>53</v>
      </c>
      <c r="C15" s="3" t="s">
        <v>13</v>
      </c>
      <c r="D15" s="3" t="s">
        <v>25</v>
      </c>
      <c r="E15" s="3" t="s">
        <v>34</v>
      </c>
      <c r="F15" s="4" t="n">
        <v>46065</v>
      </c>
      <c r="G15" s="3" t="s">
        <v>16</v>
      </c>
      <c r="H15" s="9"/>
      <c r="I15" s="3" t="n">
        <v>35</v>
      </c>
      <c r="J15" s="3" t="n">
        <v>3</v>
      </c>
    </row>
    <row r="16" customFormat="false" ht="15" hidden="false" customHeight="false" outlineLevel="0" collapsed="false">
      <c r="A16" s="3" t="s">
        <v>54</v>
      </c>
      <c r="B16" s="3" t="s">
        <v>55</v>
      </c>
      <c r="C16" s="3" t="s">
        <v>56</v>
      </c>
      <c r="D16" s="3" t="s">
        <v>33</v>
      </c>
      <c r="E16" s="3" t="s">
        <v>15</v>
      </c>
      <c r="F16" s="4" t="n">
        <v>46066</v>
      </c>
      <c r="G16" s="3" t="s">
        <v>16</v>
      </c>
      <c r="H16" s="3" t="n">
        <v>5</v>
      </c>
      <c r="I16" s="3" t="n">
        <v>30</v>
      </c>
      <c r="J16" s="3" t="n">
        <v>5</v>
      </c>
    </row>
    <row r="17" customFormat="false" ht="15" hidden="false" customHeight="false" outlineLevel="0" collapsed="false">
      <c r="A17" s="3" t="s">
        <v>57</v>
      </c>
      <c r="B17" s="3" t="s">
        <v>58</v>
      </c>
      <c r="C17" s="3" t="s">
        <v>13</v>
      </c>
      <c r="D17" s="3" t="s">
        <v>33</v>
      </c>
      <c r="E17" s="3" t="s">
        <v>30</v>
      </c>
      <c r="F17" s="4" t="n">
        <v>46070</v>
      </c>
      <c r="G17" s="3" t="s">
        <v>16</v>
      </c>
      <c r="H17" s="3" t="n">
        <v>4</v>
      </c>
      <c r="I17" s="3" t="n">
        <v>35</v>
      </c>
      <c r="J17" s="3" t="n">
        <v>3</v>
      </c>
    </row>
    <row r="18" customFormat="false" ht="15" hidden="false" customHeight="false" outlineLevel="0" collapsed="false">
      <c r="A18" s="3" t="s">
        <v>59</v>
      </c>
      <c r="B18" s="3" t="s">
        <v>60</v>
      </c>
      <c r="C18" s="3" t="s">
        <v>20</v>
      </c>
      <c r="D18" s="3" t="s">
        <v>43</v>
      </c>
      <c r="E18" s="3" t="s">
        <v>30</v>
      </c>
      <c r="F18" s="4" t="n">
        <v>46070</v>
      </c>
      <c r="G18" s="3" t="s">
        <v>16</v>
      </c>
      <c r="H18" s="3" t="n">
        <v>4</v>
      </c>
      <c r="I18" s="3" t="n">
        <v>600</v>
      </c>
      <c r="J18" s="3" t="n">
        <v>3</v>
      </c>
    </row>
    <row r="19" customFormat="false" ht="15" hidden="false" customHeight="false" outlineLevel="0" collapsed="false">
      <c r="A19" s="3" t="s">
        <v>61</v>
      </c>
      <c r="B19" s="3" t="s">
        <v>62</v>
      </c>
      <c r="C19" s="3" t="s">
        <v>20</v>
      </c>
      <c r="D19" s="3" t="s">
        <v>21</v>
      </c>
      <c r="E19" s="3" t="s">
        <v>34</v>
      </c>
      <c r="F19" s="4" t="n">
        <v>46075</v>
      </c>
      <c r="G19" s="3" t="s">
        <v>16</v>
      </c>
      <c r="H19" s="3" t="n">
        <v>11</v>
      </c>
      <c r="I19" s="3" t="n">
        <v>0</v>
      </c>
      <c r="J19" s="3" t="n">
        <v>4</v>
      </c>
    </row>
    <row r="20" customFormat="false" ht="15" hidden="false" customHeight="false" outlineLevel="0" collapsed="false">
      <c r="A20" s="3" t="s">
        <v>63</v>
      </c>
      <c r="B20" s="3" t="s">
        <v>64</v>
      </c>
      <c r="C20" s="3" t="s">
        <v>56</v>
      </c>
      <c r="D20" s="3" t="s">
        <v>43</v>
      </c>
      <c r="E20" s="3" t="s">
        <v>15</v>
      </c>
      <c r="F20" s="4" t="n">
        <v>46076</v>
      </c>
      <c r="G20" s="3" t="s">
        <v>16</v>
      </c>
      <c r="H20" s="3" t="n">
        <v>4</v>
      </c>
      <c r="I20" s="3" t="n">
        <v>1500</v>
      </c>
      <c r="J20" s="3" t="n">
        <v>5</v>
      </c>
    </row>
    <row r="21" customFormat="false" ht="15" hidden="false" customHeight="false" outlineLevel="0" collapsed="false">
      <c r="A21" s="3" t="s">
        <v>65</v>
      </c>
      <c r="B21" s="3" t="s">
        <v>66</v>
      </c>
      <c r="C21" s="3" t="s">
        <v>20</v>
      </c>
      <c r="D21" s="3" t="s">
        <v>33</v>
      </c>
      <c r="E21" s="3" t="s">
        <v>30</v>
      </c>
      <c r="F21" s="4" t="n">
        <v>46077</v>
      </c>
      <c r="G21" s="3" t="s">
        <v>16</v>
      </c>
      <c r="H21" s="3" t="n">
        <v>6</v>
      </c>
      <c r="I21" s="3" t="n">
        <v>35</v>
      </c>
      <c r="J21" s="3" t="n">
        <v>5</v>
      </c>
    </row>
    <row r="22" customFormat="false" ht="15" hidden="false" customHeight="false" outlineLevel="0" collapsed="false">
      <c r="A22" s="3" t="s">
        <v>67</v>
      </c>
      <c r="B22" s="3" t="s">
        <v>68</v>
      </c>
      <c r="C22" s="3" t="s">
        <v>39</v>
      </c>
      <c r="D22" s="3" t="s">
        <v>69</v>
      </c>
      <c r="E22" s="3" t="s">
        <v>30</v>
      </c>
      <c r="F22" s="4" t="n">
        <v>46079</v>
      </c>
      <c r="G22" s="3" t="s">
        <v>16</v>
      </c>
      <c r="H22" s="3" t="n">
        <v>10</v>
      </c>
      <c r="I22" s="3" t="n">
        <v>30</v>
      </c>
      <c r="J22" s="9"/>
    </row>
    <row r="23" customFormat="false" ht="15" hidden="false" customHeight="false" outlineLevel="0" collapsed="false">
      <c r="A23" s="3" t="s">
        <v>70</v>
      </c>
      <c r="B23" s="3" t="s">
        <v>71</v>
      </c>
      <c r="C23" s="3" t="s">
        <v>56</v>
      </c>
      <c r="D23" s="3" t="s">
        <v>72</v>
      </c>
      <c r="E23" s="3" t="s">
        <v>30</v>
      </c>
      <c r="F23" s="4" t="n">
        <v>46079</v>
      </c>
      <c r="G23" s="3" t="s">
        <v>16</v>
      </c>
      <c r="H23" s="3" t="n">
        <v>6</v>
      </c>
      <c r="I23" s="3" t="n">
        <v>25</v>
      </c>
      <c r="J23" s="3" t="n">
        <v>4</v>
      </c>
    </row>
    <row r="24" customFormat="false" ht="15" hidden="false" customHeight="false" outlineLevel="0" collapsed="false">
      <c r="A24" s="3" t="s">
        <v>73</v>
      </c>
      <c r="B24" s="3" t="s">
        <v>74</v>
      </c>
      <c r="C24" s="3" t="s">
        <v>39</v>
      </c>
      <c r="D24" s="3" t="s">
        <v>21</v>
      </c>
      <c r="E24" s="3" t="s">
        <v>30</v>
      </c>
      <c r="F24" s="4" t="n">
        <v>46080</v>
      </c>
      <c r="G24" s="3" t="s">
        <v>16</v>
      </c>
      <c r="H24" s="3" t="n">
        <v>7</v>
      </c>
      <c r="I24" s="3" t="n">
        <v>0</v>
      </c>
      <c r="J24" s="3" t="n">
        <v>4</v>
      </c>
    </row>
    <row r="25" customFormat="false" ht="15" hidden="false" customHeight="false" outlineLevel="0" collapsed="false">
      <c r="A25" s="3" t="s">
        <v>75</v>
      </c>
      <c r="B25" s="3" t="s">
        <v>76</v>
      </c>
      <c r="C25" s="3" t="s">
        <v>29</v>
      </c>
      <c r="D25" s="3" t="s">
        <v>25</v>
      </c>
      <c r="E25" s="3" t="s">
        <v>30</v>
      </c>
      <c r="F25" s="4" t="n">
        <v>46082</v>
      </c>
      <c r="G25" s="3" t="s">
        <v>16</v>
      </c>
      <c r="H25" s="3" t="n">
        <v>5</v>
      </c>
      <c r="I25" s="3" t="n">
        <v>30</v>
      </c>
      <c r="J25" s="3" t="n">
        <v>5</v>
      </c>
    </row>
    <row r="26" customFormat="false" ht="15" hidden="false" customHeight="false" outlineLevel="0" collapsed="false">
      <c r="A26" s="3" t="s">
        <v>77</v>
      </c>
      <c r="B26" s="3" t="s">
        <v>78</v>
      </c>
      <c r="C26" s="3" t="s">
        <v>20</v>
      </c>
      <c r="D26" s="3" t="s">
        <v>14</v>
      </c>
      <c r="E26" s="3" t="s">
        <v>15</v>
      </c>
      <c r="F26" s="4" t="n">
        <v>46085</v>
      </c>
      <c r="G26" s="3" t="s">
        <v>16</v>
      </c>
      <c r="H26" s="3" t="n">
        <v>5</v>
      </c>
      <c r="I26" s="3" t="n">
        <v>50</v>
      </c>
      <c r="J26" s="3" t="n">
        <v>5</v>
      </c>
    </row>
    <row r="27" customFormat="false" ht="15" hidden="false" customHeight="false" outlineLevel="0" collapsed="false">
      <c r="A27" s="3" t="s">
        <v>79</v>
      </c>
      <c r="B27" s="3" t="s">
        <v>80</v>
      </c>
      <c r="C27" s="3" t="s">
        <v>20</v>
      </c>
      <c r="D27" s="3" t="s">
        <v>25</v>
      </c>
      <c r="E27" s="3" t="s">
        <v>34</v>
      </c>
      <c r="F27" s="4" t="n">
        <v>46090</v>
      </c>
      <c r="G27" s="3" t="s">
        <v>16</v>
      </c>
      <c r="H27" s="3" t="n">
        <v>9</v>
      </c>
      <c r="I27" s="3" t="n">
        <v>30</v>
      </c>
      <c r="J27" s="3" t="n">
        <v>3</v>
      </c>
    </row>
    <row r="28" customFormat="false" ht="15" hidden="false" customHeight="false" outlineLevel="0" collapsed="false">
      <c r="A28" s="3" t="s">
        <v>81</v>
      </c>
      <c r="B28" s="3" t="s">
        <v>82</v>
      </c>
      <c r="C28" s="3" t="s">
        <v>29</v>
      </c>
      <c r="D28" s="9"/>
      <c r="E28" s="3" t="s">
        <v>15</v>
      </c>
      <c r="F28" s="4" t="n">
        <v>46091</v>
      </c>
      <c r="G28" s="3" t="s">
        <v>26</v>
      </c>
      <c r="H28" s="3" t="n">
        <v>4</v>
      </c>
      <c r="I28" s="3" t="n">
        <v>40</v>
      </c>
      <c r="J28" s="3" t="n">
        <v>1</v>
      </c>
    </row>
    <row r="29" customFormat="false" ht="15" hidden="false" customHeight="false" outlineLevel="0" collapsed="false">
      <c r="A29" s="3" t="s">
        <v>83</v>
      </c>
      <c r="B29" s="3" t="s">
        <v>84</v>
      </c>
      <c r="C29" s="3" t="s">
        <v>29</v>
      </c>
      <c r="D29" s="3" t="s">
        <v>43</v>
      </c>
      <c r="E29" s="3" t="s">
        <v>15</v>
      </c>
      <c r="F29" s="4" t="n">
        <v>46092</v>
      </c>
      <c r="G29" s="3" t="s">
        <v>16</v>
      </c>
      <c r="H29" s="3" t="n">
        <v>3</v>
      </c>
      <c r="I29" s="3" t="n">
        <v>2200</v>
      </c>
      <c r="J29" s="3" t="n">
        <v>3</v>
      </c>
    </row>
    <row r="30" customFormat="false" ht="15" hidden="false" customHeight="false" outlineLevel="0" collapsed="false">
      <c r="A30" s="3" t="s">
        <v>85</v>
      </c>
      <c r="B30" s="3" t="s">
        <v>86</v>
      </c>
      <c r="C30" s="3" t="s">
        <v>13</v>
      </c>
      <c r="D30" s="3" t="s">
        <v>21</v>
      </c>
      <c r="E30" s="3" t="s">
        <v>34</v>
      </c>
      <c r="F30" s="4" t="n">
        <v>46094</v>
      </c>
      <c r="G30" s="3" t="s">
        <v>16</v>
      </c>
      <c r="H30" s="3" t="n">
        <v>10</v>
      </c>
      <c r="I30" s="3" t="n">
        <v>0</v>
      </c>
      <c r="J30" s="3" t="n">
        <v>5</v>
      </c>
    </row>
    <row r="31" customFormat="false" ht="15" hidden="false" customHeight="false" outlineLevel="0" collapsed="false">
      <c r="A31" s="3" t="s">
        <v>87</v>
      </c>
      <c r="B31" s="3" t="s">
        <v>88</v>
      </c>
      <c r="C31" s="3" t="s">
        <v>29</v>
      </c>
      <c r="D31" s="3" t="s">
        <v>33</v>
      </c>
      <c r="E31" s="3" t="s">
        <v>34</v>
      </c>
      <c r="F31" s="4" t="n">
        <v>46100</v>
      </c>
      <c r="G31" s="3" t="s">
        <v>16</v>
      </c>
      <c r="H31" s="3" t="n">
        <v>11</v>
      </c>
      <c r="I31" s="3" t="n">
        <v>30</v>
      </c>
      <c r="J31" s="3" t="n">
        <v>3</v>
      </c>
    </row>
    <row r="32" customFormat="false" ht="15" hidden="false" customHeight="false" outlineLevel="0" collapsed="false">
      <c r="A32" s="7" t="s">
        <v>87</v>
      </c>
      <c r="B32" s="7" t="s">
        <v>88</v>
      </c>
      <c r="C32" s="7" t="s">
        <v>29</v>
      </c>
      <c r="D32" s="7" t="s">
        <v>33</v>
      </c>
      <c r="E32" s="7" t="s">
        <v>34</v>
      </c>
      <c r="F32" s="8" t="n">
        <v>46100</v>
      </c>
      <c r="G32" s="7" t="s">
        <v>16</v>
      </c>
      <c r="H32" s="7" t="n">
        <v>11</v>
      </c>
      <c r="I32" s="7" t="n">
        <v>30</v>
      </c>
      <c r="J32" s="7" t="n">
        <v>3</v>
      </c>
    </row>
    <row r="33" customFormat="false" ht="15" hidden="false" customHeight="false" outlineLevel="0" collapsed="false">
      <c r="A33" s="3" t="s">
        <v>89</v>
      </c>
      <c r="B33" s="3" t="s">
        <v>90</v>
      </c>
      <c r="C33" s="3" t="s">
        <v>20</v>
      </c>
      <c r="D33" s="3" t="s">
        <v>33</v>
      </c>
      <c r="E33" s="3" t="s">
        <v>30</v>
      </c>
      <c r="F33" s="4" t="n">
        <v>46102</v>
      </c>
      <c r="G33" s="3" t="s">
        <v>16</v>
      </c>
      <c r="H33" s="3" t="n">
        <v>7</v>
      </c>
      <c r="I33" s="3" t="n">
        <v>30</v>
      </c>
      <c r="J33" s="3" t="n">
        <v>3</v>
      </c>
    </row>
    <row r="34" customFormat="false" ht="15" hidden="false" customHeight="false" outlineLevel="0" collapsed="false">
      <c r="A34" s="3" t="s">
        <v>91</v>
      </c>
      <c r="B34" s="3" t="s">
        <v>92</v>
      </c>
      <c r="C34" s="3" t="s">
        <v>29</v>
      </c>
      <c r="D34" s="3" t="s">
        <v>25</v>
      </c>
      <c r="E34" s="3" t="s">
        <v>30</v>
      </c>
      <c r="F34" s="4" t="n">
        <v>46105</v>
      </c>
      <c r="G34" s="3" t="s">
        <v>93</v>
      </c>
      <c r="H34" s="3" t="n">
        <v>4</v>
      </c>
      <c r="I34" s="3" t="n">
        <v>25</v>
      </c>
      <c r="J34" s="3" t="n">
        <v>3</v>
      </c>
    </row>
    <row r="35" customFormat="false" ht="15" hidden="false" customHeight="false" outlineLevel="0" collapsed="false">
      <c r="A35" s="3" t="s">
        <v>94</v>
      </c>
      <c r="B35" s="3" t="s">
        <v>95</v>
      </c>
      <c r="C35" s="3" t="s">
        <v>13</v>
      </c>
      <c r="D35" s="3" t="s">
        <v>96</v>
      </c>
      <c r="E35" s="3" t="s">
        <v>34</v>
      </c>
      <c r="F35" s="4" t="n">
        <v>46105</v>
      </c>
      <c r="G35" s="3" t="s">
        <v>16</v>
      </c>
      <c r="H35" s="3" t="n">
        <v>15</v>
      </c>
      <c r="I35" s="3" t="n">
        <v>2000</v>
      </c>
      <c r="J35" s="3" t="n">
        <v>5</v>
      </c>
    </row>
    <row r="36" customFormat="false" ht="15" hidden="false" customHeight="false" outlineLevel="0" collapsed="false">
      <c r="A36" s="3" t="s">
        <v>97</v>
      </c>
      <c r="B36" s="3" t="s">
        <v>98</v>
      </c>
      <c r="C36" s="3" t="s">
        <v>13</v>
      </c>
      <c r="D36" s="3" t="s">
        <v>69</v>
      </c>
      <c r="E36" s="3" t="s">
        <v>15</v>
      </c>
      <c r="F36" s="4" t="n">
        <v>46106</v>
      </c>
      <c r="G36" s="3" t="s">
        <v>16</v>
      </c>
      <c r="H36" s="3" t="n">
        <v>9</v>
      </c>
      <c r="I36" s="3" t="n">
        <v>30</v>
      </c>
      <c r="J36" s="3" t="n">
        <v>4</v>
      </c>
    </row>
    <row r="37" customFormat="false" ht="15" hidden="false" customHeight="false" outlineLevel="0" collapsed="false">
      <c r="A37" s="3" t="s">
        <v>99</v>
      </c>
      <c r="B37" s="3" t="s">
        <v>100</v>
      </c>
      <c r="C37" s="9" t="s">
        <v>101</v>
      </c>
      <c r="D37" s="3" t="s">
        <v>14</v>
      </c>
      <c r="E37" s="3" t="s">
        <v>15</v>
      </c>
      <c r="F37" s="4" t="n">
        <v>46107</v>
      </c>
      <c r="G37" s="3" t="s">
        <v>16</v>
      </c>
      <c r="H37" s="3" t="n">
        <v>3</v>
      </c>
      <c r="I37" s="3" t="n">
        <v>30</v>
      </c>
      <c r="J37" s="3" t="n">
        <v>4</v>
      </c>
    </row>
    <row r="38" customFormat="false" ht="15" hidden="false" customHeight="false" outlineLevel="0" collapsed="false">
      <c r="A38" s="3" t="s">
        <v>102</v>
      </c>
      <c r="B38" s="3" t="s">
        <v>103</v>
      </c>
      <c r="C38" s="3" t="s">
        <v>56</v>
      </c>
      <c r="D38" s="3" t="s">
        <v>14</v>
      </c>
      <c r="E38" s="3" t="s">
        <v>15</v>
      </c>
      <c r="F38" s="4" t="n">
        <v>46117</v>
      </c>
      <c r="G38" s="3" t="s">
        <v>16</v>
      </c>
      <c r="H38" s="3" t="n">
        <v>3</v>
      </c>
      <c r="I38" s="3" t="n">
        <v>35</v>
      </c>
      <c r="J38" s="3" t="n">
        <v>5</v>
      </c>
    </row>
    <row r="39" customFormat="false" ht="15" hidden="false" customHeight="false" outlineLevel="0" collapsed="false">
      <c r="A39" s="3" t="s">
        <v>104</v>
      </c>
      <c r="B39" s="3" t="s">
        <v>105</v>
      </c>
      <c r="C39" s="3" t="s">
        <v>39</v>
      </c>
      <c r="D39" s="3" t="s">
        <v>33</v>
      </c>
      <c r="E39" s="3" t="s">
        <v>34</v>
      </c>
      <c r="F39" s="4" t="n">
        <v>46123</v>
      </c>
      <c r="G39" s="3" t="s">
        <v>16</v>
      </c>
      <c r="H39" s="3" t="n">
        <v>11</v>
      </c>
      <c r="I39" s="3" t="n">
        <v>35</v>
      </c>
      <c r="J39" s="3" t="n">
        <v>3</v>
      </c>
    </row>
    <row r="40" customFormat="false" ht="15" hidden="false" customHeight="false" outlineLevel="0" collapsed="false">
      <c r="A40" s="3" t="s">
        <v>106</v>
      </c>
      <c r="B40" s="3" t="s">
        <v>107</v>
      </c>
      <c r="C40" s="3" t="s">
        <v>56</v>
      </c>
      <c r="D40" s="3" t="s">
        <v>14</v>
      </c>
      <c r="E40" s="3" t="s">
        <v>30</v>
      </c>
      <c r="F40" s="4" t="n">
        <v>46123</v>
      </c>
      <c r="G40" s="3" t="s">
        <v>16</v>
      </c>
      <c r="H40" s="3" t="n">
        <v>6</v>
      </c>
      <c r="I40" s="3" t="n">
        <v>45</v>
      </c>
      <c r="J40" s="3" t="n">
        <v>3</v>
      </c>
    </row>
    <row r="41" customFormat="false" ht="15" hidden="false" customHeight="false" outlineLevel="0" collapsed="false">
      <c r="A41" s="3" t="s">
        <v>108</v>
      </c>
      <c r="B41" s="3" t="s">
        <v>109</v>
      </c>
      <c r="C41" s="3" t="s">
        <v>56</v>
      </c>
      <c r="D41" s="3" t="s">
        <v>21</v>
      </c>
      <c r="E41" s="3" t="s">
        <v>30</v>
      </c>
      <c r="F41" s="4" t="n">
        <v>46124</v>
      </c>
      <c r="G41" s="3" t="s">
        <v>16</v>
      </c>
      <c r="H41" s="3" t="n">
        <v>9</v>
      </c>
      <c r="I41" s="3" t="n">
        <v>0</v>
      </c>
      <c r="J41" s="3" t="n">
        <v>3</v>
      </c>
    </row>
    <row r="42" customFormat="false" ht="15" hidden="false" customHeight="false" outlineLevel="0" collapsed="false">
      <c r="A42" s="3" t="s">
        <v>110</v>
      </c>
      <c r="B42" s="3" t="s">
        <v>111</v>
      </c>
      <c r="C42" s="3" t="s">
        <v>13</v>
      </c>
      <c r="D42" s="3" t="s">
        <v>96</v>
      </c>
      <c r="E42" s="3" t="s">
        <v>34</v>
      </c>
      <c r="F42" s="4" t="n">
        <v>46126</v>
      </c>
      <c r="G42" s="3" t="s">
        <v>16</v>
      </c>
      <c r="H42" s="3" t="n">
        <v>9</v>
      </c>
      <c r="I42" s="3" t="n">
        <v>2000</v>
      </c>
      <c r="J42" s="3" t="n">
        <v>4</v>
      </c>
    </row>
    <row r="43" customFormat="false" ht="15" hidden="false" customHeight="false" outlineLevel="0" collapsed="false">
      <c r="A43" s="3" t="s">
        <v>112</v>
      </c>
      <c r="B43" s="3" t="s">
        <v>113</v>
      </c>
      <c r="C43" s="3" t="s">
        <v>20</v>
      </c>
      <c r="D43" s="3" t="s">
        <v>43</v>
      </c>
      <c r="E43" s="3" t="s">
        <v>34</v>
      </c>
      <c r="F43" s="4" t="n">
        <v>46133</v>
      </c>
      <c r="G43" s="3" t="s">
        <v>93</v>
      </c>
      <c r="H43" s="3" t="n">
        <v>6</v>
      </c>
      <c r="I43" s="3" t="n">
        <v>1200</v>
      </c>
      <c r="J43" s="3" t="n">
        <v>3</v>
      </c>
    </row>
    <row r="44" customFormat="false" ht="15" hidden="false" customHeight="false" outlineLevel="0" collapsed="false">
      <c r="A44" s="3" t="s">
        <v>114</v>
      </c>
      <c r="B44" s="3" t="s">
        <v>115</v>
      </c>
      <c r="C44" s="3" t="s">
        <v>13</v>
      </c>
      <c r="D44" s="3" t="s">
        <v>43</v>
      </c>
      <c r="E44" s="3" t="s">
        <v>15</v>
      </c>
      <c r="F44" s="4" t="n">
        <v>46136</v>
      </c>
      <c r="G44" s="3" t="s">
        <v>16</v>
      </c>
      <c r="H44" s="9"/>
      <c r="I44" s="3" t="n">
        <v>600</v>
      </c>
      <c r="J44" s="3" t="n">
        <v>5</v>
      </c>
    </row>
    <row r="45" customFormat="false" ht="15" hidden="false" customHeight="false" outlineLevel="0" collapsed="false">
      <c r="A45" s="3" t="s">
        <v>116</v>
      </c>
      <c r="B45" s="3" t="s">
        <v>117</v>
      </c>
      <c r="C45" s="3" t="s">
        <v>13</v>
      </c>
      <c r="D45" s="3" t="s">
        <v>43</v>
      </c>
      <c r="E45" s="3" t="s">
        <v>15</v>
      </c>
      <c r="F45" s="4" t="n">
        <v>46144</v>
      </c>
      <c r="G45" s="3" t="s">
        <v>16</v>
      </c>
      <c r="H45" s="3" t="n">
        <v>2</v>
      </c>
      <c r="I45" s="3" t="n">
        <v>1200</v>
      </c>
      <c r="J45" s="3" t="n">
        <v>4</v>
      </c>
    </row>
    <row r="46" customFormat="false" ht="15" hidden="false" customHeight="false" outlineLevel="0" collapsed="false">
      <c r="A46" s="3" t="s">
        <v>118</v>
      </c>
      <c r="B46" s="3" t="s">
        <v>119</v>
      </c>
      <c r="C46" s="3" t="s">
        <v>20</v>
      </c>
      <c r="D46" s="3" t="s">
        <v>25</v>
      </c>
      <c r="E46" s="3" t="s">
        <v>15</v>
      </c>
      <c r="F46" s="4" t="n">
        <v>46148</v>
      </c>
      <c r="G46" s="3" t="s">
        <v>93</v>
      </c>
      <c r="H46" s="3" t="n">
        <v>5</v>
      </c>
      <c r="I46" s="3" t="n">
        <v>35</v>
      </c>
      <c r="J46" s="3" t="n">
        <v>3</v>
      </c>
    </row>
    <row r="47" customFormat="false" ht="15" hidden="false" customHeight="false" outlineLevel="0" collapsed="false">
      <c r="A47" s="3" t="s">
        <v>120</v>
      </c>
      <c r="B47" s="3" t="s">
        <v>121</v>
      </c>
      <c r="C47" s="3" t="s">
        <v>13</v>
      </c>
      <c r="D47" s="3" t="s">
        <v>96</v>
      </c>
      <c r="E47" s="3" t="s">
        <v>15</v>
      </c>
      <c r="F47" s="4" t="n">
        <v>46152</v>
      </c>
      <c r="G47" s="3" t="s">
        <v>16</v>
      </c>
      <c r="H47" s="3" t="n">
        <v>12</v>
      </c>
      <c r="I47" s="3" t="n">
        <v>1000</v>
      </c>
      <c r="J47" s="3" t="n">
        <v>5</v>
      </c>
    </row>
    <row r="48" customFormat="false" ht="15" hidden="false" customHeight="false" outlineLevel="0" collapsed="false">
      <c r="A48" s="3" t="s">
        <v>122</v>
      </c>
      <c r="B48" s="3" t="s">
        <v>123</v>
      </c>
      <c r="C48" s="3" t="s">
        <v>13</v>
      </c>
      <c r="D48" s="3" t="s">
        <v>25</v>
      </c>
      <c r="E48" s="3" t="s">
        <v>34</v>
      </c>
      <c r="F48" s="4" t="n">
        <v>46157</v>
      </c>
      <c r="G48" s="3" t="s">
        <v>16</v>
      </c>
      <c r="H48" s="3" t="n">
        <v>8</v>
      </c>
      <c r="I48" s="3" t="n">
        <v>30</v>
      </c>
      <c r="J48" s="3" t="n">
        <v>4</v>
      </c>
    </row>
    <row r="49" customFormat="false" ht="15" hidden="false" customHeight="false" outlineLevel="0" collapsed="false">
      <c r="A49" s="3" t="s">
        <v>124</v>
      </c>
      <c r="B49" s="3" t="s">
        <v>125</v>
      </c>
      <c r="C49" s="3" t="s">
        <v>20</v>
      </c>
      <c r="D49" s="3" t="s">
        <v>43</v>
      </c>
      <c r="E49" s="3" t="s">
        <v>30</v>
      </c>
      <c r="F49" s="4" t="n">
        <v>46159</v>
      </c>
      <c r="G49" s="3" t="s">
        <v>16</v>
      </c>
      <c r="H49" s="3" t="n">
        <v>4</v>
      </c>
      <c r="I49" s="3" t="n">
        <v>1500</v>
      </c>
      <c r="J49" s="3" t="n">
        <v>4</v>
      </c>
    </row>
    <row r="50" customFormat="false" ht="15" hidden="false" customHeight="false" outlineLevel="0" collapsed="false">
      <c r="A50" s="3" t="s">
        <v>126</v>
      </c>
      <c r="B50" s="3" t="s">
        <v>127</v>
      </c>
      <c r="C50" s="3" t="s">
        <v>13</v>
      </c>
      <c r="D50" s="3" t="s">
        <v>96</v>
      </c>
      <c r="E50" s="3" t="s">
        <v>15</v>
      </c>
      <c r="F50" s="4" t="n">
        <v>46159</v>
      </c>
      <c r="G50" s="3" t="s">
        <v>16</v>
      </c>
      <c r="H50" s="3" t="n">
        <v>19</v>
      </c>
      <c r="I50" s="3" t="n">
        <v>1000</v>
      </c>
      <c r="J50" s="3" t="n">
        <v>2</v>
      </c>
    </row>
    <row r="51" customFormat="false" ht="15" hidden="false" customHeight="false" outlineLevel="0" collapsed="false">
      <c r="A51" s="7" t="s">
        <v>126</v>
      </c>
      <c r="B51" s="7" t="s">
        <v>127</v>
      </c>
      <c r="C51" s="7" t="s">
        <v>13</v>
      </c>
      <c r="D51" s="7" t="s">
        <v>96</v>
      </c>
      <c r="E51" s="7" t="s">
        <v>15</v>
      </c>
      <c r="F51" s="8" t="n">
        <v>46159</v>
      </c>
      <c r="G51" s="7" t="s">
        <v>16</v>
      </c>
      <c r="H51" s="7" t="n">
        <v>19</v>
      </c>
      <c r="I51" s="7" t="n">
        <v>1000</v>
      </c>
      <c r="J51" s="7" t="n">
        <v>2</v>
      </c>
    </row>
    <row r="52" customFormat="false" ht="15" hidden="false" customHeight="false" outlineLevel="0" collapsed="false">
      <c r="A52" s="3" t="s">
        <v>128</v>
      </c>
      <c r="B52" s="3" t="s">
        <v>129</v>
      </c>
      <c r="C52" s="3" t="s">
        <v>13</v>
      </c>
      <c r="D52" s="3" t="s">
        <v>21</v>
      </c>
      <c r="E52" s="3" t="s">
        <v>30</v>
      </c>
      <c r="F52" s="4" t="n">
        <v>46160</v>
      </c>
      <c r="G52" s="3" t="s">
        <v>26</v>
      </c>
      <c r="H52" s="3" t="n">
        <v>14</v>
      </c>
      <c r="I52" s="3" t="n">
        <v>0</v>
      </c>
      <c r="J52" s="3" t="n">
        <v>1</v>
      </c>
    </row>
    <row r="53" customFormat="false" ht="15" hidden="false" customHeight="false" outlineLevel="0" collapsed="false">
      <c r="A53" s="3" t="s">
        <v>130</v>
      </c>
      <c r="B53" s="3" t="s">
        <v>131</v>
      </c>
      <c r="C53" s="3" t="s">
        <v>13</v>
      </c>
      <c r="D53" s="3" t="s">
        <v>43</v>
      </c>
      <c r="E53" s="3" t="s">
        <v>15</v>
      </c>
      <c r="F53" s="4" t="n">
        <v>46161</v>
      </c>
      <c r="G53" s="3" t="s">
        <v>26</v>
      </c>
      <c r="H53" s="3" t="n">
        <v>2</v>
      </c>
      <c r="I53" s="3" t="n">
        <v>1200</v>
      </c>
      <c r="J53" s="3" t="n">
        <v>3</v>
      </c>
    </row>
    <row r="54" customFormat="false" ht="15" hidden="false" customHeight="false" outlineLevel="0" collapsed="false">
      <c r="A54" s="3" t="s">
        <v>132</v>
      </c>
      <c r="B54" s="3" t="s">
        <v>133</v>
      </c>
      <c r="C54" s="3" t="s">
        <v>20</v>
      </c>
      <c r="D54" s="3" t="s">
        <v>69</v>
      </c>
      <c r="E54" s="3" t="s">
        <v>15</v>
      </c>
      <c r="F54" s="4" t="n">
        <v>46161</v>
      </c>
      <c r="G54" s="3" t="s">
        <v>16</v>
      </c>
      <c r="H54" s="3" t="n">
        <v>7</v>
      </c>
      <c r="I54" s="3" t="n">
        <v>40</v>
      </c>
      <c r="J54" s="3" t="n">
        <v>4</v>
      </c>
    </row>
    <row r="55" customFormat="false" ht="15" hidden="false" customHeight="false" outlineLevel="0" collapsed="false">
      <c r="A55" s="3" t="s">
        <v>134</v>
      </c>
      <c r="B55" s="3" t="s">
        <v>135</v>
      </c>
      <c r="C55" s="3" t="s">
        <v>13</v>
      </c>
      <c r="D55" s="3" t="s">
        <v>25</v>
      </c>
      <c r="E55" s="3" t="s">
        <v>15</v>
      </c>
      <c r="F55" s="4" t="n">
        <v>46166</v>
      </c>
      <c r="G55" s="3" t="s">
        <v>16</v>
      </c>
      <c r="H55" s="3" t="n">
        <v>4</v>
      </c>
      <c r="I55" s="3" t="n">
        <v>25</v>
      </c>
      <c r="J55" s="3" t="n">
        <v>5</v>
      </c>
    </row>
    <row r="56" customFormat="false" ht="15" hidden="false" customHeight="false" outlineLevel="0" collapsed="false">
      <c r="A56" s="3" t="s">
        <v>136</v>
      </c>
      <c r="B56" s="3" t="s">
        <v>137</v>
      </c>
      <c r="C56" s="9" t="s">
        <v>138</v>
      </c>
      <c r="D56" s="3" t="s">
        <v>25</v>
      </c>
      <c r="E56" s="3" t="s">
        <v>34</v>
      </c>
      <c r="F56" s="4" t="n">
        <v>46168</v>
      </c>
      <c r="G56" s="3" t="s">
        <v>16</v>
      </c>
      <c r="H56" s="3" t="n">
        <v>5</v>
      </c>
      <c r="I56" s="3" t="n">
        <v>30</v>
      </c>
      <c r="J56" s="3" t="n">
        <v>4</v>
      </c>
    </row>
    <row r="57" customFormat="false" ht="15" hidden="false" customHeight="false" outlineLevel="0" collapsed="false">
      <c r="A57" s="3" t="s">
        <v>139</v>
      </c>
      <c r="B57" s="3" t="s">
        <v>140</v>
      </c>
      <c r="C57" s="3" t="s">
        <v>29</v>
      </c>
      <c r="D57" s="3" t="s">
        <v>43</v>
      </c>
      <c r="E57" s="3" t="s">
        <v>34</v>
      </c>
      <c r="F57" s="4" t="n">
        <v>46169</v>
      </c>
      <c r="G57" s="3" t="s">
        <v>16</v>
      </c>
      <c r="H57" s="3" t="n">
        <v>6</v>
      </c>
      <c r="I57" s="3" t="n">
        <v>2200</v>
      </c>
      <c r="J57" s="3" t="n">
        <v>4</v>
      </c>
    </row>
    <row r="58" customFormat="false" ht="15" hidden="false" customHeight="false" outlineLevel="0" collapsed="false">
      <c r="A58" s="3" t="s">
        <v>141</v>
      </c>
      <c r="B58" s="3" t="s">
        <v>142</v>
      </c>
      <c r="C58" s="3" t="s">
        <v>29</v>
      </c>
      <c r="D58" s="3" t="s">
        <v>33</v>
      </c>
      <c r="E58" s="3" t="s">
        <v>15</v>
      </c>
      <c r="F58" s="4" t="n">
        <v>46174</v>
      </c>
      <c r="G58" s="3" t="s">
        <v>16</v>
      </c>
      <c r="H58" s="3" t="n">
        <v>5</v>
      </c>
      <c r="I58" s="3" t="n">
        <v>35</v>
      </c>
      <c r="J58" s="3" t="n">
        <v>5</v>
      </c>
    </row>
    <row r="59" customFormat="false" ht="15" hidden="false" customHeight="false" outlineLevel="0" collapsed="false">
      <c r="A59" s="3" t="s">
        <v>143</v>
      </c>
      <c r="B59" s="3" t="s">
        <v>144</v>
      </c>
      <c r="C59" s="3" t="s">
        <v>39</v>
      </c>
      <c r="D59" s="3" t="s">
        <v>21</v>
      </c>
      <c r="E59" s="3" t="s">
        <v>15</v>
      </c>
      <c r="F59" s="4" t="n">
        <v>46180</v>
      </c>
      <c r="G59" s="3" t="s">
        <v>16</v>
      </c>
      <c r="H59" s="3" t="n">
        <v>12</v>
      </c>
      <c r="I59" s="3" t="n">
        <v>0</v>
      </c>
      <c r="J59" s="3" t="n">
        <v>4</v>
      </c>
    </row>
    <row r="60" customFormat="false" ht="15" hidden="false" customHeight="false" outlineLevel="0" collapsed="false">
      <c r="A60" s="3" t="s">
        <v>145</v>
      </c>
      <c r="B60" s="3" t="s">
        <v>146</v>
      </c>
      <c r="C60" s="3" t="s">
        <v>20</v>
      </c>
      <c r="D60" s="3" t="s">
        <v>21</v>
      </c>
      <c r="E60" s="3" t="s">
        <v>30</v>
      </c>
      <c r="F60" s="4" t="n">
        <v>46180</v>
      </c>
      <c r="G60" s="3" t="s">
        <v>16</v>
      </c>
      <c r="H60" s="3" t="n">
        <v>12</v>
      </c>
      <c r="I60" s="3" t="n">
        <v>0</v>
      </c>
      <c r="J60" s="9"/>
    </row>
    <row r="61" customFormat="false" ht="15" hidden="false" customHeight="false" outlineLevel="0" collapsed="false">
      <c r="A61" s="3" t="s">
        <v>147</v>
      </c>
      <c r="B61" s="3" t="s">
        <v>148</v>
      </c>
      <c r="C61" s="3" t="s">
        <v>13</v>
      </c>
      <c r="D61" s="3" t="s">
        <v>69</v>
      </c>
      <c r="E61" s="3" t="s">
        <v>34</v>
      </c>
      <c r="F61" s="4" t="n">
        <v>46188</v>
      </c>
      <c r="G61" s="3" t="s">
        <v>93</v>
      </c>
      <c r="H61" s="3" t="n">
        <v>9</v>
      </c>
      <c r="I61" s="3" t="n">
        <v>30</v>
      </c>
      <c r="J61" s="3" t="n">
        <v>3</v>
      </c>
    </row>
    <row r="62" customFormat="false" ht="15" hidden="false" customHeight="false" outlineLevel="0" collapsed="false">
      <c r="A62" s="3" t="s">
        <v>149</v>
      </c>
      <c r="B62" s="3" t="s">
        <v>150</v>
      </c>
      <c r="C62" s="3" t="s">
        <v>56</v>
      </c>
      <c r="D62" s="3" t="s">
        <v>72</v>
      </c>
      <c r="E62" s="3" t="s">
        <v>34</v>
      </c>
      <c r="F62" s="4" t="n">
        <v>46191</v>
      </c>
      <c r="G62" s="3" t="s">
        <v>16</v>
      </c>
      <c r="H62" s="3" t="n">
        <v>8</v>
      </c>
      <c r="I62" s="3" t="n">
        <v>25</v>
      </c>
      <c r="J62" s="3" t="n">
        <v>5</v>
      </c>
    </row>
    <row r="63" customFormat="false" ht="15" hidden="false" customHeight="false" outlineLevel="0" collapsed="false">
      <c r="A63" s="3" t="s">
        <v>151</v>
      </c>
      <c r="B63" s="3" t="s">
        <v>152</v>
      </c>
      <c r="C63" s="3" t="s">
        <v>20</v>
      </c>
      <c r="D63" s="3" t="s">
        <v>14</v>
      </c>
      <c r="E63" s="3" t="s">
        <v>30</v>
      </c>
      <c r="F63" s="4" t="n">
        <v>46194</v>
      </c>
      <c r="G63" s="3" t="s">
        <v>16</v>
      </c>
      <c r="H63" s="3" t="n">
        <v>6</v>
      </c>
      <c r="I63" s="3" t="n">
        <v>45</v>
      </c>
      <c r="J63" s="3" t="n">
        <v>4</v>
      </c>
    </row>
    <row r="64" customFormat="false" ht="15" hidden="false" customHeight="false" outlineLevel="0" collapsed="false">
      <c r="A64" s="3" t="s">
        <v>153</v>
      </c>
      <c r="B64" s="3" t="s">
        <v>154</v>
      </c>
      <c r="C64" s="3" t="s">
        <v>56</v>
      </c>
      <c r="D64" s="3" t="s">
        <v>14</v>
      </c>
      <c r="E64" s="3" t="s">
        <v>30</v>
      </c>
      <c r="F64" s="4" t="n">
        <v>46199</v>
      </c>
      <c r="G64" s="3" t="s">
        <v>16</v>
      </c>
      <c r="H64" s="3" t="n">
        <v>6</v>
      </c>
      <c r="I64" s="3" t="n">
        <v>30</v>
      </c>
      <c r="J64" s="3" t="n">
        <v>3</v>
      </c>
    </row>
    <row r="65" customFormat="false" ht="15" hidden="false" customHeight="false" outlineLevel="0" collapsed="false">
      <c r="A65" s="3" t="s">
        <v>155</v>
      </c>
      <c r="B65" s="3" t="s">
        <v>156</v>
      </c>
      <c r="C65" s="3" t="s">
        <v>29</v>
      </c>
      <c r="D65" s="3" t="s">
        <v>72</v>
      </c>
      <c r="E65" s="3" t="s">
        <v>34</v>
      </c>
      <c r="F65" s="4" t="n">
        <v>46204</v>
      </c>
      <c r="G65" s="3" t="s">
        <v>26</v>
      </c>
      <c r="H65" s="3" t="n">
        <v>4</v>
      </c>
      <c r="I65" s="3" t="n">
        <v>20</v>
      </c>
      <c r="J65" s="3" t="n">
        <v>2</v>
      </c>
    </row>
    <row r="66" customFormat="false" ht="15" hidden="false" customHeight="false" outlineLevel="0" collapsed="false">
      <c r="A66" s="3" t="s">
        <v>157</v>
      </c>
      <c r="B66" s="3" t="s">
        <v>158</v>
      </c>
      <c r="C66" s="3" t="s">
        <v>20</v>
      </c>
      <c r="D66" s="3" t="s">
        <v>25</v>
      </c>
      <c r="E66" s="3" t="s">
        <v>15</v>
      </c>
      <c r="F66" s="4" t="n">
        <v>46206</v>
      </c>
      <c r="G66" s="3" t="s">
        <v>16</v>
      </c>
      <c r="H66" s="3" t="n">
        <v>6</v>
      </c>
      <c r="I66" s="3" t="n">
        <v>30</v>
      </c>
      <c r="J66" s="3" t="n">
        <v>5</v>
      </c>
    </row>
    <row r="67" customFormat="false" ht="15" hidden="false" customHeight="false" outlineLevel="0" collapsed="false">
      <c r="A67" s="3" t="s">
        <v>159</v>
      </c>
      <c r="B67" s="3" t="s">
        <v>160</v>
      </c>
      <c r="C67" s="3" t="s">
        <v>20</v>
      </c>
      <c r="D67" s="9"/>
      <c r="E67" s="3" t="s">
        <v>15</v>
      </c>
      <c r="F67" s="4" t="n">
        <v>46206</v>
      </c>
      <c r="G67" s="3" t="s">
        <v>16</v>
      </c>
      <c r="H67" s="3" t="n">
        <v>12</v>
      </c>
      <c r="I67" s="3" t="n">
        <v>0</v>
      </c>
      <c r="J67" s="3" t="n">
        <v>5</v>
      </c>
    </row>
    <row r="68" customFormat="false" ht="15" hidden="false" customHeight="false" outlineLevel="0" collapsed="false">
      <c r="A68" s="3" t="s">
        <v>161</v>
      </c>
      <c r="B68" s="3" t="s">
        <v>162</v>
      </c>
      <c r="C68" s="3" t="s">
        <v>13</v>
      </c>
      <c r="D68" s="3" t="s">
        <v>43</v>
      </c>
      <c r="E68" s="3" t="s">
        <v>15</v>
      </c>
      <c r="F68" s="4" t="n">
        <v>46207</v>
      </c>
      <c r="G68" s="3" t="s">
        <v>16</v>
      </c>
      <c r="H68" s="3" t="n">
        <v>2</v>
      </c>
      <c r="I68" s="3" t="n">
        <v>1500</v>
      </c>
      <c r="J68" s="3" t="n">
        <v>4</v>
      </c>
    </row>
    <row r="69" customFormat="false" ht="15" hidden="false" customHeight="false" outlineLevel="0" collapsed="false">
      <c r="A69" s="3" t="s">
        <v>163</v>
      </c>
      <c r="B69" s="3" t="s">
        <v>164</v>
      </c>
      <c r="C69" s="3" t="s">
        <v>20</v>
      </c>
      <c r="D69" s="3" t="s">
        <v>25</v>
      </c>
      <c r="E69" s="3" t="s">
        <v>15</v>
      </c>
      <c r="F69" s="4" t="n">
        <v>46215</v>
      </c>
      <c r="G69" s="3" t="s">
        <v>16</v>
      </c>
      <c r="H69" s="3" t="n">
        <v>4</v>
      </c>
      <c r="I69" s="3" t="n">
        <v>35</v>
      </c>
      <c r="J69" s="3" t="n">
        <v>4</v>
      </c>
    </row>
    <row r="70" customFormat="false" ht="15" hidden="false" customHeight="false" outlineLevel="0" collapsed="false">
      <c r="A70" s="3" t="s">
        <v>165</v>
      </c>
      <c r="B70" s="3" t="s">
        <v>166</v>
      </c>
      <c r="C70" s="3" t="s">
        <v>39</v>
      </c>
      <c r="D70" s="3" t="s">
        <v>43</v>
      </c>
      <c r="E70" s="3" t="s">
        <v>34</v>
      </c>
      <c r="F70" s="4" t="n">
        <v>46216</v>
      </c>
      <c r="G70" s="3" t="s">
        <v>16</v>
      </c>
      <c r="H70" s="3" t="n">
        <v>7</v>
      </c>
      <c r="I70" s="3" t="n">
        <v>850</v>
      </c>
      <c r="J70" s="3" t="n">
        <v>3</v>
      </c>
    </row>
    <row r="71" customFormat="false" ht="15" hidden="false" customHeight="false" outlineLevel="0" collapsed="false">
      <c r="A71" s="3" t="s">
        <v>167</v>
      </c>
      <c r="B71" s="3" t="s">
        <v>168</v>
      </c>
      <c r="C71" s="3" t="s">
        <v>20</v>
      </c>
      <c r="D71" s="3" t="s">
        <v>25</v>
      </c>
      <c r="E71" s="3" t="s">
        <v>34</v>
      </c>
      <c r="F71" s="4" t="n">
        <v>46218</v>
      </c>
      <c r="G71" s="3" t="s">
        <v>16</v>
      </c>
      <c r="H71" s="3" t="n">
        <v>10</v>
      </c>
      <c r="I71" s="3" t="n">
        <v>30</v>
      </c>
      <c r="J71" s="3" t="n">
        <v>4</v>
      </c>
    </row>
    <row r="72" customFormat="false" ht="15" hidden="false" customHeight="false" outlineLevel="0" collapsed="false">
      <c r="A72" s="3" t="s">
        <v>169</v>
      </c>
      <c r="B72" s="3" t="s">
        <v>170</v>
      </c>
      <c r="C72" s="3" t="s">
        <v>29</v>
      </c>
      <c r="D72" s="3" t="s">
        <v>43</v>
      </c>
      <c r="E72" s="3" t="s">
        <v>15</v>
      </c>
      <c r="F72" s="4" t="n">
        <v>46219</v>
      </c>
      <c r="G72" s="3" t="s">
        <v>16</v>
      </c>
      <c r="H72" s="3" t="n">
        <v>3</v>
      </c>
      <c r="I72" s="3" t="n">
        <v>600</v>
      </c>
      <c r="J72" s="3" t="n">
        <v>3</v>
      </c>
    </row>
    <row r="73" customFormat="false" ht="15" hidden="false" customHeight="false" outlineLevel="0" collapsed="false">
      <c r="A73" s="3" t="s">
        <v>171</v>
      </c>
      <c r="B73" s="3" t="s">
        <v>172</v>
      </c>
      <c r="C73" s="9" t="s">
        <v>173</v>
      </c>
      <c r="D73" s="3" t="s">
        <v>21</v>
      </c>
      <c r="E73" s="3" t="s">
        <v>30</v>
      </c>
      <c r="F73" s="4" t="n">
        <v>46223</v>
      </c>
      <c r="G73" s="3" t="s">
        <v>93</v>
      </c>
      <c r="H73" s="3" t="n">
        <v>16</v>
      </c>
      <c r="I73" s="3" t="n">
        <v>0</v>
      </c>
      <c r="J73" s="3" t="n">
        <v>2</v>
      </c>
    </row>
    <row r="74" customFormat="false" ht="15" hidden="false" customHeight="false" outlineLevel="0" collapsed="false">
      <c r="A74" s="3" t="s">
        <v>174</v>
      </c>
      <c r="B74" s="3" t="s">
        <v>175</v>
      </c>
      <c r="C74" s="3" t="s">
        <v>29</v>
      </c>
      <c r="D74" s="3" t="s">
        <v>21</v>
      </c>
      <c r="E74" s="3" t="s">
        <v>15</v>
      </c>
      <c r="F74" s="4" t="n">
        <v>46229</v>
      </c>
      <c r="G74" s="3" t="s">
        <v>16</v>
      </c>
      <c r="H74" s="3" t="n">
        <v>15</v>
      </c>
      <c r="I74" s="3" t="n">
        <v>0</v>
      </c>
      <c r="J74" s="3" t="n">
        <v>5</v>
      </c>
    </row>
    <row r="75" customFormat="false" ht="15" hidden="false" customHeight="false" outlineLevel="0" collapsed="false">
      <c r="A75" s="3" t="s">
        <v>176</v>
      </c>
      <c r="B75" s="3" t="s">
        <v>177</v>
      </c>
      <c r="C75" s="3" t="s">
        <v>29</v>
      </c>
      <c r="D75" s="3" t="s">
        <v>25</v>
      </c>
      <c r="E75" s="3" t="s">
        <v>30</v>
      </c>
      <c r="F75" s="4" t="n">
        <v>46229</v>
      </c>
      <c r="G75" s="3" t="s">
        <v>16</v>
      </c>
      <c r="H75" s="3" t="n">
        <v>6</v>
      </c>
      <c r="I75" s="3" t="n">
        <v>30</v>
      </c>
      <c r="J75" s="3" t="n">
        <v>5</v>
      </c>
    </row>
    <row r="76" customFormat="false" ht="15" hidden="false" customHeight="false" outlineLevel="0" collapsed="false">
      <c r="A76" s="3" t="s">
        <v>178</v>
      </c>
      <c r="B76" s="3" t="s">
        <v>179</v>
      </c>
      <c r="C76" s="3" t="s">
        <v>29</v>
      </c>
      <c r="D76" s="3" t="s">
        <v>72</v>
      </c>
      <c r="E76" s="3" t="s">
        <v>30</v>
      </c>
      <c r="F76" s="4" t="n">
        <v>46231</v>
      </c>
      <c r="G76" s="3" t="s">
        <v>93</v>
      </c>
      <c r="H76" s="3" t="n">
        <v>8</v>
      </c>
      <c r="I76" s="3" t="n">
        <v>25</v>
      </c>
      <c r="J76" s="3" t="n">
        <v>2</v>
      </c>
    </row>
    <row r="77" customFormat="false" ht="15" hidden="false" customHeight="false" outlineLevel="0" collapsed="false">
      <c r="A77" s="7" t="s">
        <v>178</v>
      </c>
      <c r="B77" s="7" t="s">
        <v>179</v>
      </c>
      <c r="C77" s="7" t="s">
        <v>29</v>
      </c>
      <c r="D77" s="7" t="s">
        <v>72</v>
      </c>
      <c r="E77" s="7" t="s">
        <v>30</v>
      </c>
      <c r="F77" s="8" t="n">
        <v>46231</v>
      </c>
      <c r="G77" s="7" t="s">
        <v>93</v>
      </c>
      <c r="H77" s="7" t="n">
        <v>8</v>
      </c>
      <c r="I77" s="7" t="n">
        <v>25</v>
      </c>
      <c r="J77" s="7" t="n">
        <v>2</v>
      </c>
    </row>
    <row r="78" customFormat="false" ht="15" hidden="false" customHeight="false" outlineLevel="0" collapsed="false">
      <c r="A78" s="3" t="s">
        <v>180</v>
      </c>
      <c r="B78" s="3" t="s">
        <v>181</v>
      </c>
      <c r="C78" s="3" t="s">
        <v>39</v>
      </c>
      <c r="D78" s="3" t="s">
        <v>69</v>
      </c>
      <c r="E78" s="3" t="s">
        <v>34</v>
      </c>
      <c r="F78" s="4" t="n">
        <v>46235</v>
      </c>
      <c r="G78" s="3" t="s">
        <v>93</v>
      </c>
      <c r="H78" s="3" t="n">
        <v>12</v>
      </c>
      <c r="I78" s="3" t="n">
        <v>35</v>
      </c>
      <c r="J78" s="3" t="n">
        <v>3</v>
      </c>
    </row>
    <row r="79" customFormat="false" ht="15" hidden="false" customHeight="false" outlineLevel="0" collapsed="false">
      <c r="A79" s="3" t="s">
        <v>182</v>
      </c>
      <c r="B79" s="3" t="s">
        <v>183</v>
      </c>
      <c r="C79" s="3" t="s">
        <v>56</v>
      </c>
      <c r="D79" s="3" t="s">
        <v>69</v>
      </c>
      <c r="E79" s="3" t="s">
        <v>15</v>
      </c>
      <c r="F79" s="4" t="n">
        <v>46239</v>
      </c>
      <c r="G79" s="3" t="s">
        <v>93</v>
      </c>
      <c r="H79" s="3" t="n">
        <v>8</v>
      </c>
      <c r="I79" s="3" t="n">
        <v>40</v>
      </c>
      <c r="J79" s="3" t="n">
        <v>4</v>
      </c>
    </row>
    <row r="80" customFormat="false" ht="15" hidden="false" customHeight="false" outlineLevel="0" collapsed="false">
      <c r="A80" s="3" t="s">
        <v>184</v>
      </c>
      <c r="B80" s="3" t="s">
        <v>185</v>
      </c>
      <c r="C80" s="3" t="s">
        <v>56</v>
      </c>
      <c r="D80" s="3" t="s">
        <v>33</v>
      </c>
      <c r="E80" s="3" t="s">
        <v>34</v>
      </c>
      <c r="F80" s="4" t="n">
        <v>46242</v>
      </c>
      <c r="G80" s="3" t="s">
        <v>16</v>
      </c>
      <c r="H80" s="3" t="n">
        <v>8</v>
      </c>
      <c r="I80" s="3" t="n">
        <v>35</v>
      </c>
      <c r="J80" s="3" t="n">
        <v>3</v>
      </c>
    </row>
    <row r="81" customFormat="false" ht="15" hidden="false" customHeight="false" outlineLevel="0" collapsed="false">
      <c r="A81" s="3" t="s">
        <v>186</v>
      </c>
      <c r="B81" s="3" t="s">
        <v>187</v>
      </c>
      <c r="C81" s="3" t="s">
        <v>20</v>
      </c>
      <c r="D81" s="3" t="s">
        <v>33</v>
      </c>
      <c r="E81" s="3" t="s">
        <v>15</v>
      </c>
      <c r="F81" s="4" t="n">
        <v>46244</v>
      </c>
      <c r="G81" s="3" t="s">
        <v>16</v>
      </c>
      <c r="H81" s="3" t="n">
        <v>6</v>
      </c>
      <c r="I81" s="3" t="n">
        <v>40</v>
      </c>
      <c r="J81" s="3" t="n">
        <v>4</v>
      </c>
    </row>
    <row r="82" customFormat="false" ht="15" hidden="false" customHeight="false" outlineLevel="0" collapsed="false">
      <c r="A82" s="3" t="s">
        <v>188</v>
      </c>
      <c r="B82" s="3" t="s">
        <v>189</v>
      </c>
      <c r="C82" s="3" t="s">
        <v>20</v>
      </c>
      <c r="D82" s="3" t="s">
        <v>43</v>
      </c>
      <c r="E82" s="3" t="s">
        <v>30</v>
      </c>
      <c r="F82" s="4" t="n">
        <v>46246</v>
      </c>
      <c r="G82" s="3" t="s">
        <v>93</v>
      </c>
      <c r="H82" s="3" t="n">
        <v>4</v>
      </c>
      <c r="I82" s="3" t="n">
        <v>1500</v>
      </c>
      <c r="J82" s="3" t="n">
        <v>3</v>
      </c>
    </row>
    <row r="83" customFormat="false" ht="15" hidden="false" customHeight="false" outlineLevel="0" collapsed="false">
      <c r="A83" s="3" t="s">
        <v>190</v>
      </c>
      <c r="B83" s="3" t="s">
        <v>191</v>
      </c>
      <c r="C83" s="3" t="s">
        <v>20</v>
      </c>
      <c r="D83" s="3" t="s">
        <v>43</v>
      </c>
      <c r="E83" s="3" t="s">
        <v>15</v>
      </c>
      <c r="F83" s="4" t="n">
        <v>46248</v>
      </c>
      <c r="G83" s="3" t="s">
        <v>93</v>
      </c>
      <c r="H83" s="9"/>
      <c r="I83" s="3" t="n">
        <v>3000</v>
      </c>
      <c r="J83" s="3" t="n">
        <v>4</v>
      </c>
    </row>
    <row r="84" customFormat="false" ht="15" hidden="false" customHeight="false" outlineLevel="0" collapsed="false">
      <c r="A84" s="3" t="s">
        <v>192</v>
      </c>
      <c r="B84" s="3" t="s">
        <v>193</v>
      </c>
      <c r="C84" s="3" t="s">
        <v>13</v>
      </c>
      <c r="D84" s="3" t="s">
        <v>69</v>
      </c>
      <c r="E84" s="3" t="s">
        <v>30</v>
      </c>
      <c r="F84" s="4" t="n">
        <v>46248</v>
      </c>
      <c r="G84" s="3" t="s">
        <v>93</v>
      </c>
      <c r="H84" s="3" t="n">
        <v>5</v>
      </c>
      <c r="I84" s="3" t="n">
        <v>30</v>
      </c>
      <c r="J84" s="3" t="n">
        <v>3</v>
      </c>
    </row>
    <row r="85" customFormat="false" ht="15" hidden="false" customHeight="false" outlineLevel="0" collapsed="false">
      <c r="A85" s="3" t="s">
        <v>194</v>
      </c>
      <c r="B85" s="3" t="s">
        <v>195</v>
      </c>
      <c r="C85" s="3" t="s">
        <v>13</v>
      </c>
      <c r="D85" s="3" t="s">
        <v>69</v>
      </c>
      <c r="E85" s="3" t="s">
        <v>34</v>
      </c>
      <c r="F85" s="4" t="n">
        <v>46249</v>
      </c>
      <c r="G85" s="3" t="s">
        <v>16</v>
      </c>
      <c r="H85" s="3" t="n">
        <v>12</v>
      </c>
      <c r="I85" s="3" t="n">
        <v>30</v>
      </c>
      <c r="J85" s="3" t="n">
        <v>5</v>
      </c>
    </row>
    <row r="86" customFormat="false" ht="15" hidden="false" customHeight="false" outlineLevel="0" collapsed="false">
      <c r="A86" s="3" t="s">
        <v>196</v>
      </c>
      <c r="B86" s="3" t="s">
        <v>197</v>
      </c>
      <c r="C86" s="3" t="s">
        <v>39</v>
      </c>
      <c r="D86" s="3" t="s">
        <v>69</v>
      </c>
      <c r="E86" s="3" t="s">
        <v>15</v>
      </c>
      <c r="F86" s="4" t="n">
        <v>46249</v>
      </c>
      <c r="G86" s="3" t="s">
        <v>93</v>
      </c>
      <c r="H86" s="3" t="n">
        <v>9</v>
      </c>
      <c r="I86" s="3" t="n">
        <v>40</v>
      </c>
      <c r="J86" s="3" t="n">
        <v>4</v>
      </c>
    </row>
    <row r="87" customFormat="false" ht="15" hidden="false" customHeight="false" outlineLevel="0" collapsed="false">
      <c r="A87" s="3" t="s">
        <v>198</v>
      </c>
      <c r="B87" s="3" t="s">
        <v>199</v>
      </c>
      <c r="C87" s="3" t="s">
        <v>20</v>
      </c>
      <c r="D87" s="3" t="s">
        <v>43</v>
      </c>
      <c r="E87" s="3" t="s">
        <v>15</v>
      </c>
      <c r="F87" s="4" t="n">
        <v>46250</v>
      </c>
      <c r="G87" s="3" t="s">
        <v>93</v>
      </c>
      <c r="H87" s="3" t="n">
        <v>4</v>
      </c>
      <c r="I87" s="3" t="n">
        <v>3000</v>
      </c>
      <c r="J87" s="3" t="n">
        <v>3</v>
      </c>
    </row>
    <row r="88" customFormat="false" ht="15" hidden="false" customHeight="false" outlineLevel="0" collapsed="false">
      <c r="A88" s="3" t="s">
        <v>200</v>
      </c>
      <c r="B88" s="3" t="s">
        <v>201</v>
      </c>
      <c r="C88" s="3" t="s">
        <v>39</v>
      </c>
      <c r="D88" s="3" t="s">
        <v>72</v>
      </c>
      <c r="E88" s="3" t="s">
        <v>15</v>
      </c>
      <c r="F88" s="4" t="n">
        <v>46250</v>
      </c>
      <c r="G88" s="3" t="s">
        <v>93</v>
      </c>
      <c r="H88" s="3" t="n">
        <v>4</v>
      </c>
      <c r="I88" s="3" t="n">
        <v>25</v>
      </c>
      <c r="J88" s="3" t="n">
        <v>3</v>
      </c>
    </row>
    <row r="89" customFormat="false" ht="15" hidden="false" customHeight="false" outlineLevel="0" collapsed="false">
      <c r="A89" s="3" t="s">
        <v>202</v>
      </c>
      <c r="B89" s="3" t="s">
        <v>203</v>
      </c>
      <c r="C89" s="3" t="s">
        <v>29</v>
      </c>
      <c r="D89" s="3" t="s">
        <v>43</v>
      </c>
      <c r="E89" s="3" t="s">
        <v>34</v>
      </c>
      <c r="F89" s="4" t="n">
        <v>46251</v>
      </c>
      <c r="G89" s="3" t="s">
        <v>93</v>
      </c>
      <c r="H89" s="3" t="n">
        <v>5</v>
      </c>
      <c r="I89" s="3" t="n">
        <v>850</v>
      </c>
      <c r="J89" s="9"/>
    </row>
    <row r="90" customFormat="false" ht="15" hidden="false" customHeight="false" outlineLevel="0" collapsed="false">
      <c r="A90" s="3" t="s">
        <v>204</v>
      </c>
      <c r="B90" s="3" t="s">
        <v>205</v>
      </c>
      <c r="C90" s="3" t="s">
        <v>29</v>
      </c>
      <c r="D90" s="3" t="s">
        <v>25</v>
      </c>
      <c r="E90" s="3" t="s">
        <v>34</v>
      </c>
      <c r="F90" s="4" t="n">
        <v>46252</v>
      </c>
      <c r="G90" s="3" t="s">
        <v>16</v>
      </c>
      <c r="H90" s="3" t="n">
        <v>5</v>
      </c>
      <c r="I90" s="3" t="n">
        <v>25</v>
      </c>
      <c r="J90" s="3" t="n">
        <v>3</v>
      </c>
    </row>
    <row r="91" customFormat="false" ht="15" hidden="false" customHeight="false" outlineLevel="0" collapsed="false">
      <c r="A91" s="3" t="s">
        <v>206</v>
      </c>
      <c r="B91" s="3" t="s">
        <v>207</v>
      </c>
      <c r="C91" s="3" t="s">
        <v>20</v>
      </c>
      <c r="D91" s="3" t="s">
        <v>72</v>
      </c>
      <c r="E91" s="3" t="s">
        <v>34</v>
      </c>
      <c r="F91" s="4" t="n">
        <v>46254</v>
      </c>
      <c r="G91" s="3" t="s">
        <v>93</v>
      </c>
      <c r="H91" s="3" t="n">
        <v>9</v>
      </c>
      <c r="I91" s="3" t="n">
        <v>20</v>
      </c>
      <c r="J91" s="3" t="n">
        <v>2</v>
      </c>
    </row>
    <row r="92" customFormat="false" ht="15" hidden="false" customHeight="false" outlineLevel="0" collapsed="false">
      <c r="A92" s="3" t="s">
        <v>208</v>
      </c>
      <c r="B92" s="3" t="s">
        <v>209</v>
      </c>
      <c r="C92" s="3" t="s">
        <v>56</v>
      </c>
      <c r="D92" s="3" t="s">
        <v>21</v>
      </c>
      <c r="E92" s="3" t="s">
        <v>30</v>
      </c>
      <c r="F92" s="4" t="n">
        <v>46255</v>
      </c>
      <c r="G92" s="3" t="s">
        <v>93</v>
      </c>
      <c r="H92" s="3" t="n">
        <v>11</v>
      </c>
      <c r="I92" s="3" t="n">
        <v>0</v>
      </c>
      <c r="J92" s="3" t="n">
        <v>3</v>
      </c>
    </row>
    <row r="93" customFormat="false" ht="15" hidden="false" customHeight="false" outlineLevel="0" collapsed="false">
      <c r="A93" s="3" t="s">
        <v>210</v>
      </c>
      <c r="B93" s="3" t="s">
        <v>211</v>
      </c>
      <c r="C93" s="3" t="s">
        <v>29</v>
      </c>
      <c r="D93" s="3" t="s">
        <v>43</v>
      </c>
      <c r="E93" s="3" t="s">
        <v>15</v>
      </c>
      <c r="F93" s="4" t="n">
        <v>46256</v>
      </c>
      <c r="G93" s="3" t="s">
        <v>16</v>
      </c>
      <c r="H93" s="3" t="n">
        <v>4</v>
      </c>
      <c r="I93" s="3" t="n">
        <v>850</v>
      </c>
      <c r="J93" s="3" t="n">
        <v>4</v>
      </c>
    </row>
    <row r="94" customFormat="false" ht="15" hidden="false" customHeight="false" outlineLevel="0" collapsed="false">
      <c r="A94" s="3" t="s">
        <v>212</v>
      </c>
      <c r="B94" s="3" t="s">
        <v>213</v>
      </c>
      <c r="C94" s="3" t="s">
        <v>20</v>
      </c>
      <c r="D94" s="3" t="s">
        <v>69</v>
      </c>
      <c r="E94" s="3" t="s">
        <v>30</v>
      </c>
      <c r="F94" s="4" t="n">
        <v>46260</v>
      </c>
      <c r="G94" s="3" t="s">
        <v>26</v>
      </c>
      <c r="H94" s="3" t="n">
        <v>6</v>
      </c>
      <c r="I94" s="3" t="n">
        <v>40</v>
      </c>
      <c r="J94" s="3" t="n">
        <v>2</v>
      </c>
    </row>
    <row r="95" customFormat="false" ht="15" hidden="false" customHeight="false" outlineLevel="0" collapsed="false">
      <c r="A95" s="3" t="s">
        <v>214</v>
      </c>
      <c r="B95" s="3" t="s">
        <v>215</v>
      </c>
      <c r="C95" s="3" t="s">
        <v>13</v>
      </c>
      <c r="D95" s="3" t="s">
        <v>43</v>
      </c>
      <c r="E95" s="3" t="s">
        <v>30</v>
      </c>
      <c r="F95" s="4" t="n">
        <v>46262</v>
      </c>
      <c r="G95" s="3" t="s">
        <v>16</v>
      </c>
      <c r="H95" s="3" t="n">
        <v>3</v>
      </c>
      <c r="I95" s="3" t="n">
        <v>2200</v>
      </c>
      <c r="J95" s="3" t="n">
        <v>4</v>
      </c>
    </row>
  </sheetData>
  <autoFilter ref="A1:J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7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2" min="12" style="0" width="3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0" t="s">
        <v>216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n">
        <v>46023</v>
      </c>
      <c r="G2" s="3" t="s">
        <v>16</v>
      </c>
      <c r="H2" s="3" t="n">
        <v>3</v>
      </c>
      <c r="I2" s="3" t="n">
        <v>50</v>
      </c>
      <c r="J2" s="3" t="n">
        <v>5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15</v>
      </c>
      <c r="F3" s="4" t="n">
        <v>46025</v>
      </c>
      <c r="G3" s="3" t="s">
        <v>16</v>
      </c>
      <c r="H3" s="3" t="n">
        <v>10</v>
      </c>
      <c r="I3" s="3" t="n">
        <v>0</v>
      </c>
      <c r="J3" s="3" t="n">
        <v>5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13</v>
      </c>
      <c r="D4" s="3" t="s">
        <v>25</v>
      </c>
      <c r="E4" s="3" t="s">
        <v>15</v>
      </c>
      <c r="F4" s="4" t="n">
        <v>46026</v>
      </c>
      <c r="G4" s="3" t="s">
        <v>26</v>
      </c>
      <c r="H4" s="3" t="n">
        <v>3</v>
      </c>
      <c r="I4" s="3" t="n">
        <v>30</v>
      </c>
      <c r="J4" s="3" t="n">
        <v>4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21</v>
      </c>
      <c r="E5" s="3" t="s">
        <v>30</v>
      </c>
      <c r="F5" s="4" t="n">
        <v>46029</v>
      </c>
      <c r="G5" s="3" t="s">
        <v>16</v>
      </c>
      <c r="H5" s="3" t="n">
        <v>15</v>
      </c>
      <c r="I5" s="3" t="n">
        <v>0</v>
      </c>
      <c r="J5" s="3" t="n">
        <v>3</v>
      </c>
    </row>
    <row r="6" customFormat="false" ht="15" hidden="false" customHeight="false" outlineLevel="0" collapsed="false">
      <c r="A6" s="3" t="s">
        <v>31</v>
      </c>
      <c r="B6" s="3" t="s">
        <v>32</v>
      </c>
      <c r="C6" s="3" t="s">
        <v>29</v>
      </c>
      <c r="D6" s="3" t="s">
        <v>33</v>
      </c>
      <c r="E6" s="3" t="s">
        <v>34</v>
      </c>
      <c r="F6" s="4" t="n">
        <v>46040</v>
      </c>
      <c r="G6" s="3" t="s">
        <v>26</v>
      </c>
      <c r="H6" s="3" t="n">
        <v>6</v>
      </c>
      <c r="I6" s="3" t="n">
        <v>40</v>
      </c>
      <c r="J6" s="3" t="n">
        <v>2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s">
        <v>20</v>
      </c>
      <c r="D7" s="3" t="s">
        <v>14</v>
      </c>
      <c r="E7" s="3" t="s">
        <v>15</v>
      </c>
      <c r="F7" s="4" t="n">
        <v>46054</v>
      </c>
      <c r="G7" s="3" t="s">
        <v>16</v>
      </c>
      <c r="H7" s="3" t="n">
        <v>5</v>
      </c>
      <c r="I7" s="3" t="n">
        <v>40</v>
      </c>
      <c r="J7" s="3" t="n">
        <v>4</v>
      </c>
    </row>
    <row r="8" customFormat="false" ht="15" hidden="false" customHeight="false" outlineLevel="0" collapsed="false">
      <c r="A8" s="3" t="s">
        <v>37</v>
      </c>
      <c r="B8" s="3" t="s">
        <v>38</v>
      </c>
      <c r="C8" s="3" t="s">
        <v>39</v>
      </c>
      <c r="D8" s="3" t="s">
        <v>14</v>
      </c>
      <c r="E8" s="3" t="s">
        <v>15</v>
      </c>
      <c r="F8" s="4" t="n">
        <v>46055</v>
      </c>
      <c r="G8" s="3" t="s">
        <v>16</v>
      </c>
      <c r="H8" s="3" t="n">
        <v>3</v>
      </c>
      <c r="I8" s="3" t="n">
        <v>45</v>
      </c>
      <c r="J8" s="3" t="n">
        <v>4</v>
      </c>
    </row>
    <row r="9" customFormat="false" ht="15" hidden="false" customHeight="false" outlineLevel="0" collapsed="false">
      <c r="A9" s="3" t="s">
        <v>40</v>
      </c>
      <c r="B9" s="3" t="s">
        <v>41</v>
      </c>
      <c r="C9" s="3" t="s">
        <v>29</v>
      </c>
      <c r="D9" s="3" t="s">
        <v>43</v>
      </c>
      <c r="E9" s="3" t="s">
        <v>15</v>
      </c>
      <c r="F9" s="4" t="n">
        <v>46055</v>
      </c>
      <c r="G9" s="3" t="s">
        <v>16</v>
      </c>
      <c r="H9" s="3" t="n">
        <v>2</v>
      </c>
      <c r="I9" s="3" t="n">
        <v>3000</v>
      </c>
      <c r="J9" s="3" t="n">
        <v>4</v>
      </c>
    </row>
    <row r="10" customFormat="false" ht="15" hidden="false" customHeight="false" outlineLevel="0" collapsed="false">
      <c r="A10" s="3" t="s">
        <v>44</v>
      </c>
      <c r="B10" s="3" t="s">
        <v>45</v>
      </c>
      <c r="C10" s="3" t="s">
        <v>39</v>
      </c>
      <c r="D10" s="3" t="s">
        <v>25</v>
      </c>
      <c r="E10" s="3" t="s">
        <v>15</v>
      </c>
      <c r="F10" s="4" t="n">
        <v>46055</v>
      </c>
      <c r="G10" s="3" t="s">
        <v>16</v>
      </c>
      <c r="H10" s="3" t="n">
        <v>6</v>
      </c>
      <c r="I10" s="3" t="n">
        <v>35</v>
      </c>
      <c r="J10" s="3" t="n">
        <v>5</v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39</v>
      </c>
      <c r="D11" s="3" t="s">
        <v>25</v>
      </c>
      <c r="E11" s="3" t="s">
        <v>34</v>
      </c>
      <c r="F11" s="4" t="n">
        <v>46061</v>
      </c>
      <c r="G11" s="3" t="s">
        <v>16</v>
      </c>
      <c r="H11" s="3" t="n">
        <v>6</v>
      </c>
      <c r="I11" s="3" t="n">
        <v>35</v>
      </c>
      <c r="J11" s="3" t="n">
        <v>5</v>
      </c>
    </row>
    <row r="12" customFormat="false" ht="15" hidden="false" customHeight="false" outlineLevel="0" collapsed="false">
      <c r="A12" s="3" t="s">
        <v>48</v>
      </c>
      <c r="B12" s="3" t="s">
        <v>49</v>
      </c>
      <c r="C12" s="3" t="s">
        <v>29</v>
      </c>
      <c r="D12" s="3" t="s">
        <v>33</v>
      </c>
      <c r="E12" s="3" t="s">
        <v>30</v>
      </c>
      <c r="F12" s="4" t="n">
        <v>46062</v>
      </c>
      <c r="G12" s="3" t="s">
        <v>16</v>
      </c>
      <c r="H12" s="3" t="n">
        <v>5</v>
      </c>
      <c r="I12" s="3" t="n">
        <v>30</v>
      </c>
      <c r="J12" s="3" t="n">
        <v>5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20</v>
      </c>
      <c r="D13" s="3" t="s">
        <v>33</v>
      </c>
      <c r="E13" s="3" t="s">
        <v>15</v>
      </c>
      <c r="F13" s="4" t="n">
        <v>46062</v>
      </c>
      <c r="G13" s="3" t="s">
        <v>16</v>
      </c>
      <c r="H13" s="3" t="n">
        <v>6</v>
      </c>
      <c r="I13" s="3" t="n">
        <v>35</v>
      </c>
      <c r="J13" s="3" t="n">
        <v>4</v>
      </c>
    </row>
    <row r="14" customFormat="false" ht="15" hidden="false" customHeight="false" outlineLevel="0" collapsed="false">
      <c r="A14" s="3" t="s">
        <v>52</v>
      </c>
      <c r="B14" s="3" t="s">
        <v>53</v>
      </c>
      <c r="C14" s="3" t="s">
        <v>13</v>
      </c>
      <c r="D14" s="3" t="s">
        <v>25</v>
      </c>
      <c r="E14" s="3" t="s">
        <v>34</v>
      </c>
      <c r="F14" s="4" t="n">
        <v>46065</v>
      </c>
      <c r="G14" s="3" t="s">
        <v>16</v>
      </c>
      <c r="H14" s="11" t="n">
        <v>6</v>
      </c>
      <c r="I14" s="3" t="n">
        <v>35</v>
      </c>
      <c r="J14" s="3" t="n">
        <v>3</v>
      </c>
    </row>
    <row r="15" customFormat="false" ht="15" hidden="false" customHeight="false" outlineLevel="0" collapsed="false">
      <c r="A15" s="3" t="s">
        <v>54</v>
      </c>
      <c r="B15" s="3" t="s">
        <v>55</v>
      </c>
      <c r="C15" s="3" t="s">
        <v>56</v>
      </c>
      <c r="D15" s="3" t="s">
        <v>33</v>
      </c>
      <c r="E15" s="3" t="s">
        <v>15</v>
      </c>
      <c r="F15" s="4" t="n">
        <v>46066</v>
      </c>
      <c r="G15" s="3" t="s">
        <v>16</v>
      </c>
      <c r="H15" s="3" t="n">
        <v>5</v>
      </c>
      <c r="I15" s="3" t="n">
        <v>30</v>
      </c>
      <c r="J15" s="3" t="n">
        <v>5</v>
      </c>
    </row>
    <row r="16" customFormat="false" ht="15" hidden="false" customHeight="false" outlineLevel="0" collapsed="false">
      <c r="A16" s="3" t="s">
        <v>57</v>
      </c>
      <c r="B16" s="3" t="s">
        <v>58</v>
      </c>
      <c r="C16" s="3" t="s">
        <v>13</v>
      </c>
      <c r="D16" s="3" t="s">
        <v>33</v>
      </c>
      <c r="E16" s="3" t="s">
        <v>30</v>
      </c>
      <c r="F16" s="4" t="n">
        <v>46070</v>
      </c>
      <c r="G16" s="3" t="s">
        <v>16</v>
      </c>
      <c r="H16" s="3" t="n">
        <v>4</v>
      </c>
      <c r="I16" s="3" t="n">
        <v>35</v>
      </c>
      <c r="J16" s="3" t="n">
        <v>3</v>
      </c>
    </row>
    <row r="17" customFormat="false" ht="15" hidden="false" customHeight="false" outlineLevel="0" collapsed="false">
      <c r="A17" s="3" t="s">
        <v>59</v>
      </c>
      <c r="B17" s="3" t="s">
        <v>60</v>
      </c>
      <c r="C17" s="3" t="s">
        <v>20</v>
      </c>
      <c r="D17" s="3" t="s">
        <v>43</v>
      </c>
      <c r="E17" s="3" t="s">
        <v>30</v>
      </c>
      <c r="F17" s="4" t="n">
        <v>46070</v>
      </c>
      <c r="G17" s="3" t="s">
        <v>16</v>
      </c>
      <c r="H17" s="3" t="n">
        <v>4</v>
      </c>
      <c r="I17" s="3" t="n">
        <v>600</v>
      </c>
      <c r="J17" s="3" t="n">
        <v>3</v>
      </c>
    </row>
    <row r="18" customFormat="false" ht="15" hidden="false" customHeight="false" outlineLevel="0" collapsed="false">
      <c r="A18" s="3" t="s">
        <v>61</v>
      </c>
      <c r="B18" s="3" t="s">
        <v>62</v>
      </c>
      <c r="C18" s="3" t="s">
        <v>20</v>
      </c>
      <c r="D18" s="3" t="s">
        <v>21</v>
      </c>
      <c r="E18" s="3" t="s">
        <v>34</v>
      </c>
      <c r="F18" s="4" t="n">
        <v>46075</v>
      </c>
      <c r="G18" s="3" t="s">
        <v>16</v>
      </c>
      <c r="H18" s="3" t="n">
        <v>11</v>
      </c>
      <c r="I18" s="3" t="n">
        <v>0</v>
      </c>
      <c r="J18" s="3" t="n">
        <v>4</v>
      </c>
    </row>
    <row r="19" customFormat="false" ht="15" hidden="false" customHeight="false" outlineLevel="0" collapsed="false">
      <c r="A19" s="3" t="s">
        <v>63</v>
      </c>
      <c r="B19" s="3" t="s">
        <v>64</v>
      </c>
      <c r="C19" s="3" t="s">
        <v>56</v>
      </c>
      <c r="D19" s="3" t="s">
        <v>43</v>
      </c>
      <c r="E19" s="3" t="s">
        <v>15</v>
      </c>
      <c r="F19" s="4" t="n">
        <v>46076</v>
      </c>
      <c r="G19" s="3" t="s">
        <v>16</v>
      </c>
      <c r="H19" s="3" t="n">
        <v>4</v>
      </c>
      <c r="I19" s="3" t="n">
        <v>1500</v>
      </c>
      <c r="J19" s="3" t="n">
        <v>5</v>
      </c>
    </row>
    <row r="20" customFormat="false" ht="15" hidden="false" customHeight="false" outlineLevel="0" collapsed="false">
      <c r="A20" s="3" t="s">
        <v>65</v>
      </c>
      <c r="B20" s="3" t="s">
        <v>66</v>
      </c>
      <c r="C20" s="3" t="s">
        <v>20</v>
      </c>
      <c r="D20" s="3" t="s">
        <v>33</v>
      </c>
      <c r="E20" s="3" t="s">
        <v>30</v>
      </c>
      <c r="F20" s="4" t="n">
        <v>46077</v>
      </c>
      <c r="G20" s="3" t="s">
        <v>16</v>
      </c>
      <c r="H20" s="3" t="n">
        <v>6</v>
      </c>
      <c r="I20" s="3" t="n">
        <v>35</v>
      </c>
      <c r="J20" s="3" t="n">
        <v>5</v>
      </c>
    </row>
    <row r="21" customFormat="false" ht="15" hidden="false" customHeight="false" outlineLevel="0" collapsed="false">
      <c r="A21" s="3" t="s">
        <v>67</v>
      </c>
      <c r="B21" s="3" t="s">
        <v>68</v>
      </c>
      <c r="C21" s="3" t="s">
        <v>39</v>
      </c>
      <c r="D21" s="3" t="s">
        <v>69</v>
      </c>
      <c r="E21" s="3" t="s">
        <v>30</v>
      </c>
      <c r="F21" s="4" t="n">
        <v>46079</v>
      </c>
      <c r="G21" s="3" t="s">
        <v>16</v>
      </c>
      <c r="H21" s="3" t="n">
        <v>10</v>
      </c>
      <c r="I21" s="3" t="n">
        <v>30</v>
      </c>
      <c r="J21" s="11" t="n">
        <v>4</v>
      </c>
    </row>
    <row r="22" customFormat="false" ht="15" hidden="false" customHeight="false" outlineLevel="0" collapsed="false">
      <c r="A22" s="3" t="s">
        <v>70</v>
      </c>
      <c r="B22" s="3" t="s">
        <v>71</v>
      </c>
      <c r="C22" s="3" t="s">
        <v>56</v>
      </c>
      <c r="D22" s="3" t="s">
        <v>72</v>
      </c>
      <c r="E22" s="3" t="s">
        <v>30</v>
      </c>
      <c r="F22" s="4" t="n">
        <v>46079</v>
      </c>
      <c r="G22" s="3" t="s">
        <v>16</v>
      </c>
      <c r="H22" s="3" t="n">
        <v>6</v>
      </c>
      <c r="I22" s="3" t="n">
        <v>25</v>
      </c>
      <c r="J22" s="3" t="n">
        <v>4</v>
      </c>
    </row>
    <row r="23" customFormat="false" ht="15" hidden="false" customHeight="false" outlineLevel="0" collapsed="false">
      <c r="A23" s="3" t="s">
        <v>73</v>
      </c>
      <c r="B23" s="3" t="s">
        <v>74</v>
      </c>
      <c r="C23" s="3" t="s">
        <v>39</v>
      </c>
      <c r="D23" s="3" t="s">
        <v>21</v>
      </c>
      <c r="E23" s="3" t="s">
        <v>30</v>
      </c>
      <c r="F23" s="4" t="n">
        <v>46080</v>
      </c>
      <c r="G23" s="3" t="s">
        <v>16</v>
      </c>
      <c r="H23" s="3" t="n">
        <v>7</v>
      </c>
      <c r="I23" s="3" t="n">
        <v>0</v>
      </c>
      <c r="J23" s="3" t="n">
        <v>4</v>
      </c>
    </row>
    <row r="24" customFormat="false" ht="15" hidden="false" customHeight="false" outlineLevel="0" collapsed="false">
      <c r="A24" s="3" t="s">
        <v>75</v>
      </c>
      <c r="B24" s="3" t="s">
        <v>76</v>
      </c>
      <c r="C24" s="3" t="s">
        <v>29</v>
      </c>
      <c r="D24" s="3" t="s">
        <v>25</v>
      </c>
      <c r="E24" s="3" t="s">
        <v>30</v>
      </c>
      <c r="F24" s="4" t="n">
        <v>46082</v>
      </c>
      <c r="G24" s="3" t="s">
        <v>16</v>
      </c>
      <c r="H24" s="3" t="n">
        <v>5</v>
      </c>
      <c r="I24" s="3" t="n">
        <v>30</v>
      </c>
      <c r="J24" s="3" t="n">
        <v>5</v>
      </c>
    </row>
    <row r="25" customFormat="false" ht="15" hidden="false" customHeight="false" outlineLevel="0" collapsed="false">
      <c r="A25" s="3" t="s">
        <v>77</v>
      </c>
      <c r="B25" s="3" t="s">
        <v>78</v>
      </c>
      <c r="C25" s="3" t="s">
        <v>20</v>
      </c>
      <c r="D25" s="3" t="s">
        <v>14</v>
      </c>
      <c r="E25" s="3" t="s">
        <v>15</v>
      </c>
      <c r="F25" s="4" t="n">
        <v>46085</v>
      </c>
      <c r="G25" s="3" t="s">
        <v>16</v>
      </c>
      <c r="H25" s="3" t="n">
        <v>5</v>
      </c>
      <c r="I25" s="3" t="n">
        <v>50</v>
      </c>
      <c r="J25" s="3" t="n">
        <v>5</v>
      </c>
    </row>
    <row r="26" customFormat="false" ht="15" hidden="false" customHeight="false" outlineLevel="0" collapsed="false">
      <c r="A26" s="3" t="s">
        <v>79</v>
      </c>
      <c r="B26" s="3" t="s">
        <v>80</v>
      </c>
      <c r="C26" s="3" t="s">
        <v>20</v>
      </c>
      <c r="D26" s="3" t="s">
        <v>25</v>
      </c>
      <c r="E26" s="3" t="s">
        <v>34</v>
      </c>
      <c r="F26" s="4" t="n">
        <v>46090</v>
      </c>
      <c r="G26" s="3" t="s">
        <v>16</v>
      </c>
      <c r="H26" s="3" t="n">
        <v>9</v>
      </c>
      <c r="I26" s="3" t="n">
        <v>30</v>
      </c>
      <c r="J26" s="3" t="n">
        <v>3</v>
      </c>
    </row>
    <row r="27" customFormat="false" ht="15" hidden="false" customHeight="false" outlineLevel="0" collapsed="false">
      <c r="A27" s="3" t="s">
        <v>81</v>
      </c>
      <c r="B27" s="3" t="s">
        <v>82</v>
      </c>
      <c r="C27" s="3" t="s">
        <v>29</v>
      </c>
      <c r="D27" s="11" t="s">
        <v>43</v>
      </c>
      <c r="E27" s="3" t="s">
        <v>15</v>
      </c>
      <c r="F27" s="4" t="n">
        <v>46091</v>
      </c>
      <c r="G27" s="3" t="s">
        <v>26</v>
      </c>
      <c r="H27" s="3" t="n">
        <v>4</v>
      </c>
      <c r="I27" s="3" t="n">
        <v>40</v>
      </c>
      <c r="J27" s="3" t="n">
        <v>1</v>
      </c>
    </row>
    <row r="28" customFormat="false" ht="15" hidden="false" customHeight="false" outlineLevel="0" collapsed="false">
      <c r="A28" s="3" t="s">
        <v>83</v>
      </c>
      <c r="B28" s="3" t="s">
        <v>84</v>
      </c>
      <c r="C28" s="3" t="s">
        <v>29</v>
      </c>
      <c r="D28" s="3" t="s">
        <v>43</v>
      </c>
      <c r="E28" s="3" t="s">
        <v>15</v>
      </c>
      <c r="F28" s="4" t="n">
        <v>46092</v>
      </c>
      <c r="G28" s="3" t="s">
        <v>16</v>
      </c>
      <c r="H28" s="3" t="n">
        <v>3</v>
      </c>
      <c r="I28" s="3" t="n">
        <v>2200</v>
      </c>
      <c r="J28" s="3" t="n">
        <v>3</v>
      </c>
    </row>
    <row r="29" customFormat="false" ht="15" hidden="false" customHeight="false" outlineLevel="0" collapsed="false">
      <c r="A29" s="3" t="s">
        <v>85</v>
      </c>
      <c r="B29" s="3" t="s">
        <v>86</v>
      </c>
      <c r="C29" s="3" t="s">
        <v>13</v>
      </c>
      <c r="D29" s="3" t="s">
        <v>21</v>
      </c>
      <c r="E29" s="3" t="s">
        <v>34</v>
      </c>
      <c r="F29" s="4" t="n">
        <v>46094</v>
      </c>
      <c r="G29" s="3" t="s">
        <v>16</v>
      </c>
      <c r="H29" s="3" t="n">
        <v>10</v>
      </c>
      <c r="I29" s="3" t="n">
        <v>0</v>
      </c>
      <c r="J29" s="3" t="n">
        <v>5</v>
      </c>
    </row>
    <row r="30" customFormat="false" ht="15" hidden="false" customHeight="false" outlineLevel="0" collapsed="false">
      <c r="A30" s="3" t="s">
        <v>87</v>
      </c>
      <c r="B30" s="3" t="s">
        <v>88</v>
      </c>
      <c r="C30" s="3" t="s">
        <v>29</v>
      </c>
      <c r="D30" s="3" t="s">
        <v>33</v>
      </c>
      <c r="E30" s="3" t="s">
        <v>34</v>
      </c>
      <c r="F30" s="4" t="n">
        <v>46100</v>
      </c>
      <c r="G30" s="3" t="s">
        <v>16</v>
      </c>
      <c r="H30" s="3" t="n">
        <v>11</v>
      </c>
      <c r="I30" s="3" t="n">
        <v>30</v>
      </c>
      <c r="J30" s="3" t="n">
        <v>3</v>
      </c>
    </row>
    <row r="31" customFormat="false" ht="15" hidden="false" customHeight="false" outlineLevel="0" collapsed="false">
      <c r="A31" s="3" t="s">
        <v>89</v>
      </c>
      <c r="B31" s="3" t="s">
        <v>90</v>
      </c>
      <c r="C31" s="3" t="s">
        <v>20</v>
      </c>
      <c r="D31" s="3" t="s">
        <v>33</v>
      </c>
      <c r="E31" s="3" t="s">
        <v>30</v>
      </c>
      <c r="F31" s="4" t="n">
        <v>46102</v>
      </c>
      <c r="G31" s="3" t="s">
        <v>16</v>
      </c>
      <c r="H31" s="3" t="n">
        <v>7</v>
      </c>
      <c r="I31" s="3" t="n">
        <v>30</v>
      </c>
      <c r="J31" s="3" t="n">
        <v>3</v>
      </c>
    </row>
    <row r="32" customFormat="false" ht="15" hidden="false" customHeight="false" outlineLevel="0" collapsed="false">
      <c r="A32" s="3" t="s">
        <v>91</v>
      </c>
      <c r="B32" s="3" t="s">
        <v>92</v>
      </c>
      <c r="C32" s="3" t="s">
        <v>29</v>
      </c>
      <c r="D32" s="3" t="s">
        <v>25</v>
      </c>
      <c r="E32" s="3" t="s">
        <v>30</v>
      </c>
      <c r="F32" s="4" t="n">
        <v>46105</v>
      </c>
      <c r="G32" s="3" t="s">
        <v>93</v>
      </c>
      <c r="H32" s="3" t="n">
        <v>4</v>
      </c>
      <c r="I32" s="3" t="n">
        <v>25</v>
      </c>
      <c r="J32" s="3" t="n">
        <v>3</v>
      </c>
    </row>
    <row r="33" customFormat="false" ht="15" hidden="false" customHeight="false" outlineLevel="0" collapsed="false">
      <c r="A33" s="3" t="s">
        <v>94</v>
      </c>
      <c r="B33" s="3" t="s">
        <v>95</v>
      </c>
      <c r="C33" s="3" t="s">
        <v>13</v>
      </c>
      <c r="D33" s="3" t="s">
        <v>96</v>
      </c>
      <c r="E33" s="3" t="s">
        <v>34</v>
      </c>
      <c r="F33" s="4" t="n">
        <v>46105</v>
      </c>
      <c r="G33" s="3" t="s">
        <v>16</v>
      </c>
      <c r="H33" s="3" t="n">
        <v>15</v>
      </c>
      <c r="I33" s="3" t="n">
        <v>2000</v>
      </c>
      <c r="J33" s="3" t="n">
        <v>5</v>
      </c>
    </row>
    <row r="34" customFormat="false" ht="15" hidden="false" customHeight="false" outlineLevel="0" collapsed="false">
      <c r="A34" s="3" t="s">
        <v>97</v>
      </c>
      <c r="B34" s="3" t="s">
        <v>98</v>
      </c>
      <c r="C34" s="3" t="s">
        <v>13</v>
      </c>
      <c r="D34" s="3" t="s">
        <v>69</v>
      </c>
      <c r="E34" s="3" t="s">
        <v>15</v>
      </c>
      <c r="F34" s="4" t="n">
        <v>46106</v>
      </c>
      <c r="G34" s="3" t="s">
        <v>16</v>
      </c>
      <c r="H34" s="3" t="n">
        <v>9</v>
      </c>
      <c r="I34" s="3" t="n">
        <v>30</v>
      </c>
      <c r="J34" s="3" t="n">
        <v>4</v>
      </c>
    </row>
    <row r="35" customFormat="false" ht="15" hidden="false" customHeight="false" outlineLevel="0" collapsed="false">
      <c r="A35" s="3" t="s">
        <v>99</v>
      </c>
      <c r="B35" s="3" t="s">
        <v>100</v>
      </c>
      <c r="C35" s="3" t="s">
        <v>20</v>
      </c>
      <c r="D35" s="3" t="s">
        <v>14</v>
      </c>
      <c r="E35" s="3" t="s">
        <v>15</v>
      </c>
      <c r="F35" s="4" t="n">
        <v>46107</v>
      </c>
      <c r="G35" s="3" t="s">
        <v>16</v>
      </c>
      <c r="H35" s="3" t="n">
        <v>3</v>
      </c>
      <c r="I35" s="3" t="n">
        <v>30</v>
      </c>
      <c r="J35" s="3" t="n">
        <v>4</v>
      </c>
    </row>
    <row r="36" customFormat="false" ht="15" hidden="false" customHeight="false" outlineLevel="0" collapsed="false">
      <c r="A36" s="3" t="s">
        <v>102</v>
      </c>
      <c r="B36" s="3" t="s">
        <v>103</v>
      </c>
      <c r="C36" s="3" t="s">
        <v>56</v>
      </c>
      <c r="D36" s="3" t="s">
        <v>14</v>
      </c>
      <c r="E36" s="3" t="s">
        <v>15</v>
      </c>
      <c r="F36" s="4" t="n">
        <v>46117</v>
      </c>
      <c r="G36" s="3" t="s">
        <v>16</v>
      </c>
      <c r="H36" s="3" t="n">
        <v>3</v>
      </c>
      <c r="I36" s="3" t="n">
        <v>35</v>
      </c>
      <c r="J36" s="3" t="n">
        <v>5</v>
      </c>
    </row>
    <row r="37" customFormat="false" ht="15" hidden="false" customHeight="false" outlineLevel="0" collapsed="false">
      <c r="A37" s="3" t="s">
        <v>104</v>
      </c>
      <c r="B37" s="3" t="s">
        <v>105</v>
      </c>
      <c r="C37" s="3" t="s">
        <v>39</v>
      </c>
      <c r="D37" s="3" t="s">
        <v>33</v>
      </c>
      <c r="E37" s="3" t="s">
        <v>34</v>
      </c>
      <c r="F37" s="4" t="n">
        <v>46123</v>
      </c>
      <c r="G37" s="3" t="s">
        <v>16</v>
      </c>
      <c r="H37" s="3" t="n">
        <v>11</v>
      </c>
      <c r="I37" s="3" t="n">
        <v>35</v>
      </c>
      <c r="J37" s="3" t="n">
        <v>3</v>
      </c>
    </row>
    <row r="38" customFormat="false" ht="15" hidden="false" customHeight="false" outlineLevel="0" collapsed="false">
      <c r="A38" s="3" t="s">
        <v>106</v>
      </c>
      <c r="B38" s="3" t="s">
        <v>107</v>
      </c>
      <c r="C38" s="3" t="s">
        <v>56</v>
      </c>
      <c r="D38" s="3" t="s">
        <v>14</v>
      </c>
      <c r="E38" s="3" t="s">
        <v>30</v>
      </c>
      <c r="F38" s="4" t="n">
        <v>46123</v>
      </c>
      <c r="G38" s="3" t="s">
        <v>16</v>
      </c>
      <c r="H38" s="3" t="n">
        <v>6</v>
      </c>
      <c r="I38" s="3" t="n">
        <v>45</v>
      </c>
      <c r="J38" s="3" t="n">
        <v>3</v>
      </c>
    </row>
    <row r="39" customFormat="false" ht="15" hidden="false" customHeight="false" outlineLevel="0" collapsed="false">
      <c r="A39" s="3" t="s">
        <v>108</v>
      </c>
      <c r="B39" s="3" t="s">
        <v>109</v>
      </c>
      <c r="C39" s="3" t="s">
        <v>56</v>
      </c>
      <c r="D39" s="3" t="s">
        <v>21</v>
      </c>
      <c r="E39" s="3" t="s">
        <v>30</v>
      </c>
      <c r="F39" s="4" t="n">
        <v>46124</v>
      </c>
      <c r="G39" s="3" t="s">
        <v>16</v>
      </c>
      <c r="H39" s="3" t="n">
        <v>9</v>
      </c>
      <c r="I39" s="3" t="n">
        <v>0</v>
      </c>
      <c r="J39" s="3" t="n">
        <v>3</v>
      </c>
    </row>
    <row r="40" customFormat="false" ht="15" hidden="false" customHeight="false" outlineLevel="0" collapsed="false">
      <c r="A40" s="3" t="s">
        <v>110</v>
      </c>
      <c r="B40" s="3" t="s">
        <v>111</v>
      </c>
      <c r="C40" s="3" t="s">
        <v>13</v>
      </c>
      <c r="D40" s="3" t="s">
        <v>96</v>
      </c>
      <c r="E40" s="3" t="s">
        <v>34</v>
      </c>
      <c r="F40" s="4" t="n">
        <v>46126</v>
      </c>
      <c r="G40" s="3" t="s">
        <v>16</v>
      </c>
      <c r="H40" s="3" t="n">
        <v>9</v>
      </c>
      <c r="I40" s="3" t="n">
        <v>2000</v>
      </c>
      <c r="J40" s="3" t="n">
        <v>4</v>
      </c>
    </row>
    <row r="41" customFormat="false" ht="15" hidden="false" customHeight="false" outlineLevel="0" collapsed="false">
      <c r="A41" s="3" t="s">
        <v>112</v>
      </c>
      <c r="B41" s="3" t="s">
        <v>113</v>
      </c>
      <c r="C41" s="3" t="s">
        <v>20</v>
      </c>
      <c r="D41" s="3" t="s">
        <v>43</v>
      </c>
      <c r="E41" s="3" t="s">
        <v>34</v>
      </c>
      <c r="F41" s="4" t="n">
        <v>46133</v>
      </c>
      <c r="G41" s="3" t="s">
        <v>93</v>
      </c>
      <c r="H41" s="3" t="n">
        <v>6</v>
      </c>
      <c r="I41" s="3" t="n">
        <v>1200</v>
      </c>
      <c r="J41" s="3" t="n">
        <v>3</v>
      </c>
    </row>
    <row r="42" customFormat="false" ht="15" hidden="false" customHeight="false" outlineLevel="0" collapsed="false">
      <c r="A42" s="3" t="s">
        <v>114</v>
      </c>
      <c r="B42" s="3" t="s">
        <v>115</v>
      </c>
      <c r="C42" s="3" t="s">
        <v>13</v>
      </c>
      <c r="D42" s="3" t="s">
        <v>43</v>
      </c>
      <c r="E42" s="3" t="s">
        <v>15</v>
      </c>
      <c r="F42" s="4" t="n">
        <v>46136</v>
      </c>
      <c r="G42" s="3" t="s">
        <v>16</v>
      </c>
      <c r="H42" s="11" t="n">
        <v>6</v>
      </c>
      <c r="I42" s="3" t="n">
        <v>600</v>
      </c>
      <c r="J42" s="3" t="n">
        <v>5</v>
      </c>
    </row>
    <row r="43" customFormat="false" ht="15" hidden="false" customHeight="false" outlineLevel="0" collapsed="false">
      <c r="A43" s="3" t="s">
        <v>116</v>
      </c>
      <c r="B43" s="3" t="s">
        <v>117</v>
      </c>
      <c r="C43" s="3" t="s">
        <v>13</v>
      </c>
      <c r="D43" s="3" t="s">
        <v>43</v>
      </c>
      <c r="E43" s="3" t="s">
        <v>15</v>
      </c>
      <c r="F43" s="4" t="n">
        <v>46144</v>
      </c>
      <c r="G43" s="3" t="s">
        <v>16</v>
      </c>
      <c r="H43" s="3" t="n">
        <v>2</v>
      </c>
      <c r="I43" s="3" t="n">
        <v>1200</v>
      </c>
      <c r="J43" s="3" t="n">
        <v>4</v>
      </c>
    </row>
    <row r="44" customFormat="false" ht="15" hidden="false" customHeight="false" outlineLevel="0" collapsed="false">
      <c r="A44" s="3" t="s">
        <v>118</v>
      </c>
      <c r="B44" s="3" t="s">
        <v>119</v>
      </c>
      <c r="C44" s="3" t="s">
        <v>20</v>
      </c>
      <c r="D44" s="3" t="s">
        <v>25</v>
      </c>
      <c r="E44" s="3" t="s">
        <v>15</v>
      </c>
      <c r="F44" s="4" t="n">
        <v>46148</v>
      </c>
      <c r="G44" s="3" t="s">
        <v>93</v>
      </c>
      <c r="H44" s="3" t="n">
        <v>5</v>
      </c>
      <c r="I44" s="3" t="n">
        <v>35</v>
      </c>
      <c r="J44" s="3" t="n">
        <v>3</v>
      </c>
    </row>
    <row r="45" customFormat="false" ht="15" hidden="false" customHeight="false" outlineLevel="0" collapsed="false">
      <c r="A45" s="3" t="s">
        <v>120</v>
      </c>
      <c r="B45" s="3" t="s">
        <v>121</v>
      </c>
      <c r="C45" s="3" t="s">
        <v>13</v>
      </c>
      <c r="D45" s="3" t="s">
        <v>96</v>
      </c>
      <c r="E45" s="3" t="s">
        <v>15</v>
      </c>
      <c r="F45" s="4" t="n">
        <v>46152</v>
      </c>
      <c r="G45" s="3" t="s">
        <v>16</v>
      </c>
      <c r="H45" s="3" t="n">
        <v>12</v>
      </c>
      <c r="I45" s="3" t="n">
        <v>1000</v>
      </c>
      <c r="J45" s="3" t="n">
        <v>5</v>
      </c>
    </row>
    <row r="46" customFormat="false" ht="15" hidden="false" customHeight="false" outlineLevel="0" collapsed="false">
      <c r="A46" s="3" t="s">
        <v>122</v>
      </c>
      <c r="B46" s="3" t="s">
        <v>123</v>
      </c>
      <c r="C46" s="3" t="s">
        <v>13</v>
      </c>
      <c r="D46" s="3" t="s">
        <v>25</v>
      </c>
      <c r="E46" s="3" t="s">
        <v>34</v>
      </c>
      <c r="F46" s="4" t="n">
        <v>46157</v>
      </c>
      <c r="G46" s="3" t="s">
        <v>16</v>
      </c>
      <c r="H46" s="3" t="n">
        <v>8</v>
      </c>
      <c r="I46" s="3" t="n">
        <v>30</v>
      </c>
      <c r="J46" s="3" t="n">
        <v>4</v>
      </c>
    </row>
    <row r="47" customFormat="false" ht="15" hidden="false" customHeight="false" outlineLevel="0" collapsed="false">
      <c r="A47" s="3" t="s">
        <v>124</v>
      </c>
      <c r="B47" s="3" t="s">
        <v>125</v>
      </c>
      <c r="C47" s="3" t="s">
        <v>20</v>
      </c>
      <c r="D47" s="3" t="s">
        <v>43</v>
      </c>
      <c r="E47" s="3" t="s">
        <v>30</v>
      </c>
      <c r="F47" s="4" t="n">
        <v>46159</v>
      </c>
      <c r="G47" s="3" t="s">
        <v>16</v>
      </c>
      <c r="H47" s="3" t="n">
        <v>4</v>
      </c>
      <c r="I47" s="3" t="n">
        <v>1500</v>
      </c>
      <c r="J47" s="3" t="n">
        <v>4</v>
      </c>
    </row>
    <row r="48" customFormat="false" ht="15" hidden="false" customHeight="false" outlineLevel="0" collapsed="false">
      <c r="A48" s="3" t="s">
        <v>126</v>
      </c>
      <c r="B48" s="3" t="s">
        <v>127</v>
      </c>
      <c r="C48" s="3" t="s">
        <v>13</v>
      </c>
      <c r="D48" s="3" t="s">
        <v>96</v>
      </c>
      <c r="E48" s="3" t="s">
        <v>15</v>
      </c>
      <c r="F48" s="4" t="n">
        <v>46159</v>
      </c>
      <c r="G48" s="3" t="s">
        <v>16</v>
      </c>
      <c r="H48" s="3" t="n">
        <v>19</v>
      </c>
      <c r="I48" s="3" t="n">
        <v>1000</v>
      </c>
      <c r="J48" s="3" t="n">
        <v>2</v>
      </c>
    </row>
    <row r="49" customFormat="false" ht="15" hidden="false" customHeight="false" outlineLevel="0" collapsed="false">
      <c r="A49" s="3" t="s">
        <v>128</v>
      </c>
      <c r="B49" s="3" t="s">
        <v>129</v>
      </c>
      <c r="C49" s="3" t="s">
        <v>13</v>
      </c>
      <c r="D49" s="3" t="s">
        <v>21</v>
      </c>
      <c r="E49" s="3" t="s">
        <v>30</v>
      </c>
      <c r="F49" s="4" t="n">
        <v>46160</v>
      </c>
      <c r="G49" s="3" t="s">
        <v>26</v>
      </c>
      <c r="H49" s="3" t="n">
        <v>14</v>
      </c>
      <c r="I49" s="3" t="n">
        <v>0</v>
      </c>
      <c r="J49" s="3" t="n">
        <v>1</v>
      </c>
    </row>
    <row r="50" customFormat="false" ht="15" hidden="false" customHeight="false" outlineLevel="0" collapsed="false">
      <c r="A50" s="3" t="s">
        <v>130</v>
      </c>
      <c r="B50" s="3" t="s">
        <v>131</v>
      </c>
      <c r="C50" s="3" t="s">
        <v>13</v>
      </c>
      <c r="D50" s="3" t="s">
        <v>43</v>
      </c>
      <c r="E50" s="3" t="s">
        <v>15</v>
      </c>
      <c r="F50" s="4" t="n">
        <v>46161</v>
      </c>
      <c r="G50" s="3" t="s">
        <v>26</v>
      </c>
      <c r="H50" s="3" t="n">
        <v>2</v>
      </c>
      <c r="I50" s="3" t="n">
        <v>1200</v>
      </c>
      <c r="J50" s="3" t="n">
        <v>3</v>
      </c>
    </row>
    <row r="51" customFormat="false" ht="15" hidden="false" customHeight="false" outlineLevel="0" collapsed="false">
      <c r="A51" s="3" t="s">
        <v>132</v>
      </c>
      <c r="B51" s="3" t="s">
        <v>133</v>
      </c>
      <c r="C51" s="3" t="s">
        <v>20</v>
      </c>
      <c r="D51" s="3" t="s">
        <v>69</v>
      </c>
      <c r="E51" s="3" t="s">
        <v>15</v>
      </c>
      <c r="F51" s="4" t="n">
        <v>46161</v>
      </c>
      <c r="G51" s="3" t="s">
        <v>16</v>
      </c>
      <c r="H51" s="3" t="n">
        <v>7</v>
      </c>
      <c r="I51" s="3" t="n">
        <v>40</v>
      </c>
      <c r="J51" s="3" t="n">
        <v>4</v>
      </c>
    </row>
    <row r="52" customFormat="false" ht="15" hidden="false" customHeight="false" outlineLevel="0" collapsed="false">
      <c r="A52" s="3" t="s">
        <v>134</v>
      </c>
      <c r="B52" s="3" t="s">
        <v>135</v>
      </c>
      <c r="C52" s="3" t="s">
        <v>13</v>
      </c>
      <c r="D52" s="3" t="s">
        <v>25</v>
      </c>
      <c r="E52" s="3" t="s">
        <v>15</v>
      </c>
      <c r="F52" s="4" t="n">
        <v>46166</v>
      </c>
      <c r="G52" s="3" t="s">
        <v>16</v>
      </c>
      <c r="H52" s="3" t="n">
        <v>4</v>
      </c>
      <c r="I52" s="3" t="n">
        <v>25</v>
      </c>
      <c r="J52" s="3" t="n">
        <v>5</v>
      </c>
    </row>
    <row r="53" customFormat="false" ht="15" hidden="false" customHeight="false" outlineLevel="0" collapsed="false">
      <c r="A53" s="3" t="s">
        <v>136</v>
      </c>
      <c r="B53" s="3" t="s">
        <v>137</v>
      </c>
      <c r="C53" s="3" t="s">
        <v>13</v>
      </c>
      <c r="D53" s="3" t="s">
        <v>25</v>
      </c>
      <c r="E53" s="3" t="s">
        <v>34</v>
      </c>
      <c r="F53" s="4" t="n">
        <v>46168</v>
      </c>
      <c r="G53" s="3" t="s">
        <v>16</v>
      </c>
      <c r="H53" s="3" t="n">
        <v>5</v>
      </c>
      <c r="I53" s="3" t="n">
        <v>30</v>
      </c>
      <c r="J53" s="3" t="n">
        <v>4</v>
      </c>
    </row>
    <row r="54" customFormat="false" ht="15" hidden="false" customHeight="false" outlineLevel="0" collapsed="false">
      <c r="A54" s="3" t="s">
        <v>139</v>
      </c>
      <c r="B54" s="3" t="s">
        <v>140</v>
      </c>
      <c r="C54" s="3" t="s">
        <v>29</v>
      </c>
      <c r="D54" s="3" t="s">
        <v>43</v>
      </c>
      <c r="E54" s="3" t="s">
        <v>34</v>
      </c>
      <c r="F54" s="4" t="n">
        <v>46169</v>
      </c>
      <c r="G54" s="3" t="s">
        <v>16</v>
      </c>
      <c r="H54" s="3" t="n">
        <v>6</v>
      </c>
      <c r="I54" s="3" t="n">
        <v>2200</v>
      </c>
      <c r="J54" s="3" t="n">
        <v>4</v>
      </c>
    </row>
    <row r="55" customFormat="false" ht="15" hidden="false" customHeight="false" outlineLevel="0" collapsed="false">
      <c r="A55" s="3" t="s">
        <v>141</v>
      </c>
      <c r="B55" s="3" t="s">
        <v>142</v>
      </c>
      <c r="C55" s="3" t="s">
        <v>29</v>
      </c>
      <c r="D55" s="3" t="s">
        <v>33</v>
      </c>
      <c r="E55" s="3" t="s">
        <v>15</v>
      </c>
      <c r="F55" s="4" t="n">
        <v>46174</v>
      </c>
      <c r="G55" s="3" t="s">
        <v>16</v>
      </c>
      <c r="H55" s="3" t="n">
        <v>5</v>
      </c>
      <c r="I55" s="3" t="n">
        <v>35</v>
      </c>
      <c r="J55" s="3" t="n">
        <v>5</v>
      </c>
    </row>
    <row r="56" customFormat="false" ht="15" hidden="false" customHeight="false" outlineLevel="0" collapsed="false">
      <c r="A56" s="3" t="s">
        <v>143</v>
      </c>
      <c r="B56" s="3" t="s">
        <v>144</v>
      </c>
      <c r="C56" s="3" t="s">
        <v>39</v>
      </c>
      <c r="D56" s="3" t="s">
        <v>21</v>
      </c>
      <c r="E56" s="3" t="s">
        <v>15</v>
      </c>
      <c r="F56" s="4" t="n">
        <v>46180</v>
      </c>
      <c r="G56" s="3" t="s">
        <v>16</v>
      </c>
      <c r="H56" s="3" t="n">
        <v>12</v>
      </c>
      <c r="I56" s="3" t="n">
        <v>0</v>
      </c>
      <c r="J56" s="3" t="n">
        <v>4</v>
      </c>
    </row>
    <row r="57" customFormat="false" ht="15" hidden="false" customHeight="false" outlineLevel="0" collapsed="false">
      <c r="A57" s="3" t="s">
        <v>145</v>
      </c>
      <c r="B57" s="3" t="s">
        <v>146</v>
      </c>
      <c r="C57" s="3" t="s">
        <v>20</v>
      </c>
      <c r="D57" s="3" t="s">
        <v>21</v>
      </c>
      <c r="E57" s="3" t="s">
        <v>30</v>
      </c>
      <c r="F57" s="4" t="n">
        <v>46180</v>
      </c>
      <c r="G57" s="3" t="s">
        <v>16</v>
      </c>
      <c r="H57" s="3" t="n">
        <v>12</v>
      </c>
      <c r="I57" s="3" t="n">
        <v>0</v>
      </c>
      <c r="J57" s="11" t="n">
        <v>4</v>
      </c>
    </row>
    <row r="58" customFormat="false" ht="15" hidden="false" customHeight="false" outlineLevel="0" collapsed="false">
      <c r="A58" s="3" t="s">
        <v>147</v>
      </c>
      <c r="B58" s="3" t="s">
        <v>148</v>
      </c>
      <c r="C58" s="3" t="s">
        <v>13</v>
      </c>
      <c r="D58" s="3" t="s">
        <v>69</v>
      </c>
      <c r="E58" s="3" t="s">
        <v>34</v>
      </c>
      <c r="F58" s="4" t="n">
        <v>46188</v>
      </c>
      <c r="G58" s="3" t="s">
        <v>93</v>
      </c>
      <c r="H58" s="3" t="n">
        <v>9</v>
      </c>
      <c r="I58" s="3" t="n">
        <v>30</v>
      </c>
      <c r="J58" s="3" t="n">
        <v>3</v>
      </c>
    </row>
    <row r="59" customFormat="false" ht="15" hidden="false" customHeight="false" outlineLevel="0" collapsed="false">
      <c r="A59" s="3" t="s">
        <v>149</v>
      </c>
      <c r="B59" s="3" t="s">
        <v>150</v>
      </c>
      <c r="C59" s="3" t="s">
        <v>56</v>
      </c>
      <c r="D59" s="3" t="s">
        <v>72</v>
      </c>
      <c r="E59" s="3" t="s">
        <v>34</v>
      </c>
      <c r="F59" s="4" t="n">
        <v>46191</v>
      </c>
      <c r="G59" s="3" t="s">
        <v>16</v>
      </c>
      <c r="H59" s="3" t="n">
        <v>8</v>
      </c>
      <c r="I59" s="3" t="n">
        <v>25</v>
      </c>
      <c r="J59" s="3" t="n">
        <v>5</v>
      </c>
    </row>
    <row r="60" customFormat="false" ht="15" hidden="false" customHeight="false" outlineLevel="0" collapsed="false">
      <c r="A60" s="3" t="s">
        <v>151</v>
      </c>
      <c r="B60" s="3" t="s">
        <v>152</v>
      </c>
      <c r="C60" s="3" t="s">
        <v>20</v>
      </c>
      <c r="D60" s="3" t="s">
        <v>14</v>
      </c>
      <c r="E60" s="3" t="s">
        <v>30</v>
      </c>
      <c r="F60" s="4" t="n">
        <v>46194</v>
      </c>
      <c r="G60" s="3" t="s">
        <v>16</v>
      </c>
      <c r="H60" s="3" t="n">
        <v>6</v>
      </c>
      <c r="I60" s="3" t="n">
        <v>45</v>
      </c>
      <c r="J60" s="3" t="n">
        <v>4</v>
      </c>
    </row>
    <row r="61" customFormat="false" ht="15" hidden="false" customHeight="false" outlineLevel="0" collapsed="false">
      <c r="A61" s="3" t="s">
        <v>153</v>
      </c>
      <c r="B61" s="3" t="s">
        <v>154</v>
      </c>
      <c r="C61" s="3" t="s">
        <v>56</v>
      </c>
      <c r="D61" s="3" t="s">
        <v>14</v>
      </c>
      <c r="E61" s="3" t="s">
        <v>30</v>
      </c>
      <c r="F61" s="4" t="n">
        <v>46199</v>
      </c>
      <c r="G61" s="3" t="s">
        <v>16</v>
      </c>
      <c r="H61" s="3" t="n">
        <v>6</v>
      </c>
      <c r="I61" s="3" t="n">
        <v>30</v>
      </c>
      <c r="J61" s="3" t="n">
        <v>3</v>
      </c>
    </row>
    <row r="62" customFormat="false" ht="15" hidden="false" customHeight="false" outlineLevel="0" collapsed="false">
      <c r="A62" s="3" t="s">
        <v>155</v>
      </c>
      <c r="B62" s="3" t="s">
        <v>156</v>
      </c>
      <c r="C62" s="3" t="s">
        <v>29</v>
      </c>
      <c r="D62" s="3" t="s">
        <v>72</v>
      </c>
      <c r="E62" s="3" t="s">
        <v>34</v>
      </c>
      <c r="F62" s="4" t="n">
        <v>46204</v>
      </c>
      <c r="G62" s="3" t="s">
        <v>26</v>
      </c>
      <c r="H62" s="3" t="n">
        <v>4</v>
      </c>
      <c r="I62" s="3" t="n">
        <v>20</v>
      </c>
      <c r="J62" s="3" t="n">
        <v>2</v>
      </c>
    </row>
    <row r="63" customFormat="false" ht="15" hidden="false" customHeight="false" outlineLevel="0" collapsed="false">
      <c r="A63" s="3" t="s">
        <v>157</v>
      </c>
      <c r="B63" s="3" t="s">
        <v>158</v>
      </c>
      <c r="C63" s="3" t="s">
        <v>20</v>
      </c>
      <c r="D63" s="3" t="s">
        <v>25</v>
      </c>
      <c r="E63" s="3" t="s">
        <v>15</v>
      </c>
      <c r="F63" s="4" t="n">
        <v>46206</v>
      </c>
      <c r="G63" s="3" t="s">
        <v>16</v>
      </c>
      <c r="H63" s="3" t="n">
        <v>6</v>
      </c>
      <c r="I63" s="3" t="n">
        <v>30</v>
      </c>
      <c r="J63" s="3" t="n">
        <v>5</v>
      </c>
    </row>
    <row r="64" customFormat="false" ht="15" hidden="false" customHeight="false" outlineLevel="0" collapsed="false">
      <c r="A64" s="3" t="s">
        <v>159</v>
      </c>
      <c r="B64" s="3" t="s">
        <v>160</v>
      </c>
      <c r="C64" s="3" t="s">
        <v>20</v>
      </c>
      <c r="D64" s="11" t="s">
        <v>43</v>
      </c>
      <c r="E64" s="3" t="s">
        <v>15</v>
      </c>
      <c r="F64" s="4" t="n">
        <v>46206</v>
      </c>
      <c r="G64" s="3" t="s">
        <v>16</v>
      </c>
      <c r="H64" s="3" t="n">
        <v>12</v>
      </c>
      <c r="I64" s="3" t="n">
        <v>0</v>
      </c>
      <c r="J64" s="3" t="n">
        <v>5</v>
      </c>
    </row>
    <row r="65" customFormat="false" ht="15" hidden="false" customHeight="false" outlineLevel="0" collapsed="false">
      <c r="A65" s="3" t="s">
        <v>161</v>
      </c>
      <c r="B65" s="3" t="s">
        <v>162</v>
      </c>
      <c r="C65" s="3" t="s">
        <v>13</v>
      </c>
      <c r="D65" s="3" t="s">
        <v>43</v>
      </c>
      <c r="E65" s="3" t="s">
        <v>15</v>
      </c>
      <c r="F65" s="4" t="n">
        <v>46207</v>
      </c>
      <c r="G65" s="3" t="s">
        <v>16</v>
      </c>
      <c r="H65" s="3" t="n">
        <v>2</v>
      </c>
      <c r="I65" s="3" t="n">
        <v>1500</v>
      </c>
      <c r="J65" s="3" t="n">
        <v>4</v>
      </c>
    </row>
    <row r="66" customFormat="false" ht="15" hidden="false" customHeight="false" outlineLevel="0" collapsed="false">
      <c r="A66" s="3" t="s">
        <v>163</v>
      </c>
      <c r="B66" s="3" t="s">
        <v>164</v>
      </c>
      <c r="C66" s="3" t="s">
        <v>20</v>
      </c>
      <c r="D66" s="3" t="s">
        <v>25</v>
      </c>
      <c r="E66" s="3" t="s">
        <v>15</v>
      </c>
      <c r="F66" s="4" t="n">
        <v>46215</v>
      </c>
      <c r="G66" s="3" t="s">
        <v>16</v>
      </c>
      <c r="H66" s="3" t="n">
        <v>4</v>
      </c>
      <c r="I66" s="3" t="n">
        <v>35</v>
      </c>
      <c r="J66" s="3" t="n">
        <v>4</v>
      </c>
    </row>
    <row r="67" customFormat="false" ht="15" hidden="false" customHeight="false" outlineLevel="0" collapsed="false">
      <c r="A67" s="3" t="s">
        <v>165</v>
      </c>
      <c r="B67" s="3" t="s">
        <v>166</v>
      </c>
      <c r="C67" s="3" t="s">
        <v>39</v>
      </c>
      <c r="D67" s="3" t="s">
        <v>43</v>
      </c>
      <c r="E67" s="3" t="s">
        <v>34</v>
      </c>
      <c r="F67" s="4" t="n">
        <v>46216</v>
      </c>
      <c r="G67" s="3" t="s">
        <v>16</v>
      </c>
      <c r="H67" s="3" t="n">
        <v>7</v>
      </c>
      <c r="I67" s="3" t="n">
        <v>850</v>
      </c>
      <c r="J67" s="3" t="n">
        <v>3</v>
      </c>
    </row>
    <row r="68" customFormat="false" ht="15" hidden="false" customHeight="false" outlineLevel="0" collapsed="false">
      <c r="A68" s="3" t="s">
        <v>167</v>
      </c>
      <c r="B68" s="3" t="s">
        <v>168</v>
      </c>
      <c r="C68" s="3" t="s">
        <v>20</v>
      </c>
      <c r="D68" s="3" t="s">
        <v>25</v>
      </c>
      <c r="E68" s="3" t="s">
        <v>34</v>
      </c>
      <c r="F68" s="4" t="n">
        <v>46218</v>
      </c>
      <c r="G68" s="3" t="s">
        <v>16</v>
      </c>
      <c r="H68" s="3" t="n">
        <v>10</v>
      </c>
      <c r="I68" s="3" t="n">
        <v>30</v>
      </c>
      <c r="J68" s="3" t="n">
        <v>4</v>
      </c>
    </row>
    <row r="69" customFormat="false" ht="15" hidden="false" customHeight="false" outlineLevel="0" collapsed="false">
      <c r="A69" s="3" t="s">
        <v>169</v>
      </c>
      <c r="B69" s="3" t="s">
        <v>170</v>
      </c>
      <c r="C69" s="3" t="s">
        <v>29</v>
      </c>
      <c r="D69" s="3" t="s">
        <v>43</v>
      </c>
      <c r="E69" s="3" t="s">
        <v>15</v>
      </c>
      <c r="F69" s="4" t="n">
        <v>46219</v>
      </c>
      <c r="G69" s="3" t="s">
        <v>16</v>
      </c>
      <c r="H69" s="3" t="n">
        <v>3</v>
      </c>
      <c r="I69" s="3" t="n">
        <v>600</v>
      </c>
      <c r="J69" s="3" t="n">
        <v>3</v>
      </c>
    </row>
    <row r="70" customFormat="false" ht="15" hidden="false" customHeight="false" outlineLevel="0" collapsed="false">
      <c r="A70" s="3" t="s">
        <v>171</v>
      </c>
      <c r="B70" s="3" t="s">
        <v>172</v>
      </c>
      <c r="C70" s="3" t="s">
        <v>56</v>
      </c>
      <c r="D70" s="3" t="s">
        <v>21</v>
      </c>
      <c r="E70" s="3" t="s">
        <v>30</v>
      </c>
      <c r="F70" s="4" t="n">
        <v>46223</v>
      </c>
      <c r="G70" s="3" t="s">
        <v>93</v>
      </c>
      <c r="H70" s="3" t="n">
        <v>16</v>
      </c>
      <c r="I70" s="3" t="n">
        <v>0</v>
      </c>
      <c r="J70" s="3" t="n">
        <v>2</v>
      </c>
    </row>
    <row r="71" customFormat="false" ht="15" hidden="false" customHeight="false" outlineLevel="0" collapsed="false">
      <c r="A71" s="3" t="s">
        <v>174</v>
      </c>
      <c r="B71" s="3" t="s">
        <v>175</v>
      </c>
      <c r="C71" s="3" t="s">
        <v>29</v>
      </c>
      <c r="D71" s="3" t="s">
        <v>21</v>
      </c>
      <c r="E71" s="3" t="s">
        <v>15</v>
      </c>
      <c r="F71" s="4" t="n">
        <v>46229</v>
      </c>
      <c r="G71" s="3" t="s">
        <v>16</v>
      </c>
      <c r="H71" s="3" t="n">
        <v>15</v>
      </c>
      <c r="I71" s="3" t="n">
        <v>0</v>
      </c>
      <c r="J71" s="3" t="n">
        <v>5</v>
      </c>
    </row>
    <row r="72" customFormat="false" ht="15" hidden="false" customHeight="false" outlineLevel="0" collapsed="false">
      <c r="A72" s="3" t="s">
        <v>176</v>
      </c>
      <c r="B72" s="3" t="s">
        <v>177</v>
      </c>
      <c r="C72" s="3" t="s">
        <v>29</v>
      </c>
      <c r="D72" s="3" t="s">
        <v>25</v>
      </c>
      <c r="E72" s="3" t="s">
        <v>30</v>
      </c>
      <c r="F72" s="4" t="n">
        <v>46229</v>
      </c>
      <c r="G72" s="3" t="s">
        <v>16</v>
      </c>
      <c r="H72" s="3" t="n">
        <v>6</v>
      </c>
      <c r="I72" s="3" t="n">
        <v>30</v>
      </c>
      <c r="J72" s="3" t="n">
        <v>5</v>
      </c>
    </row>
    <row r="73" customFormat="false" ht="15" hidden="false" customHeight="false" outlineLevel="0" collapsed="false">
      <c r="A73" s="3" t="s">
        <v>178</v>
      </c>
      <c r="B73" s="3" t="s">
        <v>179</v>
      </c>
      <c r="C73" s="3" t="s">
        <v>29</v>
      </c>
      <c r="D73" s="3" t="s">
        <v>72</v>
      </c>
      <c r="E73" s="3" t="s">
        <v>30</v>
      </c>
      <c r="F73" s="4" t="n">
        <v>46231</v>
      </c>
      <c r="G73" s="3" t="s">
        <v>93</v>
      </c>
      <c r="H73" s="3" t="n">
        <v>8</v>
      </c>
      <c r="I73" s="3" t="n">
        <v>25</v>
      </c>
      <c r="J73" s="3" t="n">
        <v>2</v>
      </c>
    </row>
    <row r="74" customFormat="false" ht="15" hidden="false" customHeight="false" outlineLevel="0" collapsed="false">
      <c r="A74" s="3" t="s">
        <v>180</v>
      </c>
      <c r="B74" s="3" t="s">
        <v>181</v>
      </c>
      <c r="C74" s="3" t="s">
        <v>39</v>
      </c>
      <c r="D74" s="3" t="s">
        <v>69</v>
      </c>
      <c r="E74" s="3" t="s">
        <v>34</v>
      </c>
      <c r="F74" s="4" t="n">
        <v>46235</v>
      </c>
      <c r="G74" s="3" t="s">
        <v>93</v>
      </c>
      <c r="H74" s="3" t="n">
        <v>12</v>
      </c>
      <c r="I74" s="3" t="n">
        <v>35</v>
      </c>
      <c r="J74" s="3" t="n">
        <v>3</v>
      </c>
    </row>
    <row r="75" customFormat="false" ht="15" hidden="false" customHeight="false" outlineLevel="0" collapsed="false">
      <c r="A75" s="3" t="s">
        <v>182</v>
      </c>
      <c r="B75" s="3" t="s">
        <v>183</v>
      </c>
      <c r="C75" s="3" t="s">
        <v>56</v>
      </c>
      <c r="D75" s="3" t="s">
        <v>69</v>
      </c>
      <c r="E75" s="3" t="s">
        <v>15</v>
      </c>
      <c r="F75" s="4" t="n">
        <v>46239</v>
      </c>
      <c r="G75" s="3" t="s">
        <v>93</v>
      </c>
      <c r="H75" s="3" t="n">
        <v>8</v>
      </c>
      <c r="I75" s="3" t="n">
        <v>40</v>
      </c>
      <c r="J75" s="3" t="n">
        <v>4</v>
      </c>
    </row>
    <row r="76" customFormat="false" ht="15" hidden="false" customHeight="false" outlineLevel="0" collapsed="false">
      <c r="A76" s="3" t="s">
        <v>184</v>
      </c>
      <c r="B76" s="3" t="s">
        <v>185</v>
      </c>
      <c r="C76" s="3" t="s">
        <v>56</v>
      </c>
      <c r="D76" s="3" t="s">
        <v>33</v>
      </c>
      <c r="E76" s="3" t="s">
        <v>34</v>
      </c>
      <c r="F76" s="4" t="n">
        <v>46242</v>
      </c>
      <c r="G76" s="3" t="s">
        <v>16</v>
      </c>
      <c r="H76" s="3" t="n">
        <v>8</v>
      </c>
      <c r="I76" s="3" t="n">
        <v>35</v>
      </c>
      <c r="J76" s="3" t="n">
        <v>3</v>
      </c>
    </row>
    <row r="77" customFormat="false" ht="15" hidden="false" customHeight="false" outlineLevel="0" collapsed="false">
      <c r="A77" s="3" t="s">
        <v>186</v>
      </c>
      <c r="B77" s="3" t="s">
        <v>187</v>
      </c>
      <c r="C77" s="3" t="s">
        <v>20</v>
      </c>
      <c r="D77" s="3" t="s">
        <v>33</v>
      </c>
      <c r="E77" s="3" t="s">
        <v>15</v>
      </c>
      <c r="F77" s="4" t="n">
        <v>46244</v>
      </c>
      <c r="G77" s="3" t="s">
        <v>16</v>
      </c>
      <c r="H77" s="3" t="n">
        <v>6</v>
      </c>
      <c r="I77" s="3" t="n">
        <v>40</v>
      </c>
      <c r="J77" s="3" t="n">
        <v>4</v>
      </c>
    </row>
    <row r="78" customFormat="false" ht="15" hidden="false" customHeight="false" outlineLevel="0" collapsed="false">
      <c r="A78" s="3" t="s">
        <v>188</v>
      </c>
      <c r="B78" s="3" t="s">
        <v>189</v>
      </c>
      <c r="C78" s="3" t="s">
        <v>20</v>
      </c>
      <c r="D78" s="3" t="s">
        <v>43</v>
      </c>
      <c r="E78" s="3" t="s">
        <v>30</v>
      </c>
      <c r="F78" s="4" t="n">
        <v>46246</v>
      </c>
      <c r="G78" s="3" t="s">
        <v>93</v>
      </c>
      <c r="H78" s="3" t="n">
        <v>4</v>
      </c>
      <c r="I78" s="3" t="n">
        <v>1500</v>
      </c>
      <c r="J78" s="3" t="n">
        <v>3</v>
      </c>
    </row>
    <row r="79" customFormat="false" ht="15" hidden="false" customHeight="false" outlineLevel="0" collapsed="false">
      <c r="A79" s="3" t="s">
        <v>190</v>
      </c>
      <c r="B79" s="3" t="s">
        <v>191</v>
      </c>
      <c r="C79" s="3" t="s">
        <v>20</v>
      </c>
      <c r="D79" s="3" t="s">
        <v>43</v>
      </c>
      <c r="E79" s="3" t="s">
        <v>15</v>
      </c>
      <c r="F79" s="4" t="n">
        <v>46248</v>
      </c>
      <c r="G79" s="3" t="s">
        <v>93</v>
      </c>
      <c r="H79" s="11" t="n">
        <v>6</v>
      </c>
      <c r="I79" s="3" t="n">
        <v>3000</v>
      </c>
      <c r="J79" s="3" t="n">
        <v>4</v>
      </c>
    </row>
    <row r="80" customFormat="false" ht="15" hidden="false" customHeight="false" outlineLevel="0" collapsed="false">
      <c r="A80" s="3" t="s">
        <v>192</v>
      </c>
      <c r="B80" s="3" t="s">
        <v>193</v>
      </c>
      <c r="C80" s="3" t="s">
        <v>13</v>
      </c>
      <c r="D80" s="3" t="s">
        <v>69</v>
      </c>
      <c r="E80" s="3" t="s">
        <v>30</v>
      </c>
      <c r="F80" s="4" t="n">
        <v>46248</v>
      </c>
      <c r="G80" s="3" t="s">
        <v>93</v>
      </c>
      <c r="H80" s="3" t="n">
        <v>5</v>
      </c>
      <c r="I80" s="3" t="n">
        <v>30</v>
      </c>
      <c r="J80" s="3" t="n">
        <v>3</v>
      </c>
    </row>
    <row r="81" customFormat="false" ht="15" hidden="false" customHeight="false" outlineLevel="0" collapsed="false">
      <c r="A81" s="3" t="s">
        <v>194</v>
      </c>
      <c r="B81" s="3" t="s">
        <v>195</v>
      </c>
      <c r="C81" s="3" t="s">
        <v>13</v>
      </c>
      <c r="D81" s="3" t="s">
        <v>69</v>
      </c>
      <c r="E81" s="3" t="s">
        <v>34</v>
      </c>
      <c r="F81" s="4" t="n">
        <v>46249</v>
      </c>
      <c r="G81" s="3" t="s">
        <v>16</v>
      </c>
      <c r="H81" s="3" t="n">
        <v>12</v>
      </c>
      <c r="I81" s="3" t="n">
        <v>30</v>
      </c>
      <c r="J81" s="3" t="n">
        <v>5</v>
      </c>
    </row>
    <row r="82" customFormat="false" ht="15" hidden="false" customHeight="false" outlineLevel="0" collapsed="false">
      <c r="A82" s="3" t="s">
        <v>196</v>
      </c>
      <c r="B82" s="3" t="s">
        <v>197</v>
      </c>
      <c r="C82" s="3" t="s">
        <v>39</v>
      </c>
      <c r="D82" s="3" t="s">
        <v>69</v>
      </c>
      <c r="E82" s="3" t="s">
        <v>15</v>
      </c>
      <c r="F82" s="4" t="n">
        <v>46249</v>
      </c>
      <c r="G82" s="3" t="s">
        <v>93</v>
      </c>
      <c r="H82" s="3" t="n">
        <v>9</v>
      </c>
      <c r="I82" s="3" t="n">
        <v>40</v>
      </c>
      <c r="J82" s="3" t="n">
        <v>4</v>
      </c>
    </row>
    <row r="83" customFormat="false" ht="15" hidden="false" customHeight="false" outlineLevel="0" collapsed="false">
      <c r="A83" s="3" t="s">
        <v>198</v>
      </c>
      <c r="B83" s="3" t="s">
        <v>199</v>
      </c>
      <c r="C83" s="3" t="s">
        <v>20</v>
      </c>
      <c r="D83" s="3" t="s">
        <v>43</v>
      </c>
      <c r="E83" s="3" t="s">
        <v>15</v>
      </c>
      <c r="F83" s="4" t="n">
        <v>46250</v>
      </c>
      <c r="G83" s="3" t="s">
        <v>93</v>
      </c>
      <c r="H83" s="3" t="n">
        <v>4</v>
      </c>
      <c r="I83" s="3" t="n">
        <v>3000</v>
      </c>
      <c r="J83" s="3" t="n">
        <v>3</v>
      </c>
    </row>
    <row r="84" customFormat="false" ht="15" hidden="false" customHeight="false" outlineLevel="0" collapsed="false">
      <c r="A84" s="3" t="s">
        <v>200</v>
      </c>
      <c r="B84" s="3" t="s">
        <v>201</v>
      </c>
      <c r="C84" s="3" t="s">
        <v>39</v>
      </c>
      <c r="D84" s="3" t="s">
        <v>72</v>
      </c>
      <c r="E84" s="3" t="s">
        <v>15</v>
      </c>
      <c r="F84" s="4" t="n">
        <v>46250</v>
      </c>
      <c r="G84" s="3" t="s">
        <v>93</v>
      </c>
      <c r="H84" s="3" t="n">
        <v>4</v>
      </c>
      <c r="I84" s="3" t="n">
        <v>25</v>
      </c>
      <c r="J84" s="3" t="n">
        <v>3</v>
      </c>
    </row>
    <row r="85" customFormat="false" ht="15" hidden="false" customHeight="false" outlineLevel="0" collapsed="false">
      <c r="A85" s="3" t="s">
        <v>202</v>
      </c>
      <c r="B85" s="3" t="s">
        <v>203</v>
      </c>
      <c r="C85" s="3" t="s">
        <v>29</v>
      </c>
      <c r="D85" s="3" t="s">
        <v>43</v>
      </c>
      <c r="E85" s="3" t="s">
        <v>34</v>
      </c>
      <c r="F85" s="4" t="n">
        <v>46251</v>
      </c>
      <c r="G85" s="3" t="s">
        <v>93</v>
      </c>
      <c r="H85" s="3" t="n">
        <v>5</v>
      </c>
      <c r="I85" s="3" t="n">
        <v>850</v>
      </c>
      <c r="J85" s="11" t="n">
        <v>4</v>
      </c>
    </row>
    <row r="86" customFormat="false" ht="15" hidden="false" customHeight="false" outlineLevel="0" collapsed="false">
      <c r="A86" s="3" t="s">
        <v>204</v>
      </c>
      <c r="B86" s="3" t="s">
        <v>205</v>
      </c>
      <c r="C86" s="3" t="s">
        <v>29</v>
      </c>
      <c r="D86" s="3" t="s">
        <v>25</v>
      </c>
      <c r="E86" s="3" t="s">
        <v>34</v>
      </c>
      <c r="F86" s="4" t="n">
        <v>46252</v>
      </c>
      <c r="G86" s="3" t="s">
        <v>16</v>
      </c>
      <c r="H86" s="3" t="n">
        <v>5</v>
      </c>
      <c r="I86" s="3" t="n">
        <v>25</v>
      </c>
      <c r="J86" s="3" t="n">
        <v>3</v>
      </c>
    </row>
    <row r="87" customFormat="false" ht="15" hidden="false" customHeight="false" outlineLevel="0" collapsed="false">
      <c r="A87" s="3" t="s">
        <v>206</v>
      </c>
      <c r="B87" s="3" t="s">
        <v>207</v>
      </c>
      <c r="C87" s="3" t="s">
        <v>20</v>
      </c>
      <c r="D87" s="3" t="s">
        <v>72</v>
      </c>
      <c r="E87" s="3" t="s">
        <v>34</v>
      </c>
      <c r="F87" s="4" t="n">
        <v>46254</v>
      </c>
      <c r="G87" s="3" t="s">
        <v>93</v>
      </c>
      <c r="H87" s="3" t="n">
        <v>9</v>
      </c>
      <c r="I87" s="3" t="n">
        <v>20</v>
      </c>
      <c r="J87" s="3" t="n">
        <v>2</v>
      </c>
    </row>
    <row r="88" customFormat="false" ht="15" hidden="false" customHeight="false" outlineLevel="0" collapsed="false">
      <c r="A88" s="3" t="s">
        <v>208</v>
      </c>
      <c r="B88" s="3" t="s">
        <v>209</v>
      </c>
      <c r="C88" s="3" t="s">
        <v>56</v>
      </c>
      <c r="D88" s="3" t="s">
        <v>21</v>
      </c>
      <c r="E88" s="3" t="s">
        <v>30</v>
      </c>
      <c r="F88" s="4" t="n">
        <v>46255</v>
      </c>
      <c r="G88" s="3" t="s">
        <v>93</v>
      </c>
      <c r="H88" s="3" t="n">
        <v>11</v>
      </c>
      <c r="I88" s="3" t="n">
        <v>0</v>
      </c>
      <c r="J88" s="3" t="n">
        <v>3</v>
      </c>
    </row>
    <row r="89" customFormat="false" ht="15" hidden="false" customHeight="false" outlineLevel="0" collapsed="false">
      <c r="A89" s="3" t="s">
        <v>210</v>
      </c>
      <c r="B89" s="3" t="s">
        <v>211</v>
      </c>
      <c r="C89" s="3" t="s">
        <v>29</v>
      </c>
      <c r="D89" s="3" t="s">
        <v>43</v>
      </c>
      <c r="E89" s="3" t="s">
        <v>15</v>
      </c>
      <c r="F89" s="4" t="n">
        <v>46256</v>
      </c>
      <c r="G89" s="3" t="s">
        <v>16</v>
      </c>
      <c r="H89" s="3" t="n">
        <v>4</v>
      </c>
      <c r="I89" s="3" t="n">
        <v>850</v>
      </c>
      <c r="J89" s="3" t="n">
        <v>4</v>
      </c>
    </row>
    <row r="90" customFormat="false" ht="15" hidden="false" customHeight="false" outlineLevel="0" collapsed="false">
      <c r="A90" s="3" t="s">
        <v>212</v>
      </c>
      <c r="B90" s="3" t="s">
        <v>213</v>
      </c>
      <c r="C90" s="3" t="s">
        <v>20</v>
      </c>
      <c r="D90" s="3" t="s">
        <v>69</v>
      </c>
      <c r="E90" s="3" t="s">
        <v>30</v>
      </c>
      <c r="F90" s="4" t="n">
        <v>46260</v>
      </c>
      <c r="G90" s="3" t="s">
        <v>26</v>
      </c>
      <c r="H90" s="3" t="n">
        <v>6</v>
      </c>
      <c r="I90" s="3" t="n">
        <v>40</v>
      </c>
      <c r="J90" s="3" t="n">
        <v>2</v>
      </c>
    </row>
    <row r="91" customFormat="false" ht="15" hidden="false" customHeight="false" outlineLevel="0" collapsed="false">
      <c r="A91" s="3" t="s">
        <v>214</v>
      </c>
      <c r="B91" s="3" t="s">
        <v>215</v>
      </c>
      <c r="C91" s="3" t="s">
        <v>13</v>
      </c>
      <c r="D91" s="3" t="s">
        <v>43</v>
      </c>
      <c r="E91" s="3" t="s">
        <v>30</v>
      </c>
      <c r="F91" s="4" t="n">
        <v>46262</v>
      </c>
      <c r="G91" s="3" t="s">
        <v>16</v>
      </c>
      <c r="H91" s="3" t="n">
        <v>3</v>
      </c>
      <c r="I91" s="3" t="n">
        <v>2200</v>
      </c>
      <c r="J91" s="3" t="n">
        <v>4</v>
      </c>
    </row>
  </sheetData>
  <autoFilter ref="A1:J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2" t="s">
        <v>217</v>
      </c>
    </row>
    <row r="3" customFormat="false" ht="15" hidden="false" customHeight="false" outlineLevel="0" collapsed="false">
      <c r="A3" s="1" t="s">
        <v>218</v>
      </c>
      <c r="B3" s="1" t="s">
        <v>219</v>
      </c>
      <c r="C3" s="1" t="s">
        <v>220</v>
      </c>
    </row>
    <row r="4" customFormat="false" ht="15" hidden="false" customHeight="false" outlineLevel="0" collapsed="false">
      <c r="A4" s="13" t="s">
        <v>221</v>
      </c>
      <c r="B4" s="14" t="n">
        <f aca="false">COUNTA('Raw Data'!A2:A95)</f>
        <v>94</v>
      </c>
      <c r="C4" s="14" t="s">
        <v>222</v>
      </c>
    </row>
    <row r="5" customFormat="false" ht="15" hidden="false" customHeight="false" outlineLevel="0" collapsed="false">
      <c r="A5" s="13" t="s">
        <v>223</v>
      </c>
      <c r="B5" s="14" t="n">
        <f aca="false">COUNTA('Cleaned Data'!A2:A91)</f>
        <v>90</v>
      </c>
      <c r="C5" s="14" t="s">
        <v>224</v>
      </c>
    </row>
    <row r="6" customFormat="false" ht="15" hidden="false" customHeight="false" outlineLevel="0" collapsed="false">
      <c r="A6" s="13" t="s">
        <v>225</v>
      </c>
      <c r="B6" s="14" t="n">
        <f aca="false">B4-B5</f>
        <v>4</v>
      </c>
      <c r="C6" s="14" t="s">
        <v>226</v>
      </c>
    </row>
    <row r="7" customFormat="false" ht="15" hidden="false" customHeight="false" outlineLevel="0" collapsed="false">
      <c r="A7" s="13" t="s">
        <v>227</v>
      </c>
      <c r="B7" s="14" t="n">
        <f aca="false">COUNTBLANK('Raw Data'!D2:D95)</f>
        <v>2</v>
      </c>
      <c r="C7" s="14" t="s">
        <v>228</v>
      </c>
    </row>
    <row r="8" customFormat="false" ht="15" hidden="false" customHeight="false" outlineLevel="0" collapsed="false">
      <c r="A8" s="13" t="s">
        <v>229</v>
      </c>
      <c r="B8" s="14" t="n">
        <f aca="false">COUNTBLANK('Raw Data'!H2:H95)</f>
        <v>3</v>
      </c>
      <c r="C8" s="14" t="s">
        <v>230</v>
      </c>
    </row>
    <row r="9" customFormat="false" ht="15" hidden="false" customHeight="false" outlineLevel="0" collapsed="false">
      <c r="A9" s="13" t="s">
        <v>231</v>
      </c>
      <c r="B9" s="14" t="n">
        <f aca="false">COUNTBLANK('Raw Data'!J2:J95)</f>
        <v>3</v>
      </c>
      <c r="C9" s="14" t="s">
        <v>230</v>
      </c>
    </row>
    <row r="10" customFormat="false" ht="15" hidden="false" customHeight="false" outlineLevel="0" collapsed="false">
      <c r="A10" s="13" t="s">
        <v>232</v>
      </c>
      <c r="B10" s="14" t="n">
        <f aca="false">SUM(B7:B9)</f>
        <v>8</v>
      </c>
      <c r="C10" s="14"/>
    </row>
    <row r="11" customFormat="false" ht="15" hidden="false" customHeight="false" outlineLevel="0" collapsed="false">
      <c r="A11" s="13" t="s">
        <v>233</v>
      </c>
      <c r="B11" s="14" t="n">
        <f aca="false">COUNTBLANK('Cleaned Data'!A2:J91)</f>
        <v>0</v>
      </c>
      <c r="C11" s="14" t="s">
        <v>234</v>
      </c>
    </row>
    <row r="12" customFormat="false" ht="15" hidden="false" customHeight="false" outlineLevel="0" collapsed="false">
      <c r="A12" s="13" t="s">
        <v>235</v>
      </c>
      <c r="B12" s="14" t="s">
        <v>43</v>
      </c>
      <c r="C12" s="14" t="s">
        <v>236</v>
      </c>
    </row>
    <row r="13" customFormat="false" ht="15" hidden="false" customHeight="false" outlineLevel="0" collapsed="false">
      <c r="A13" s="13" t="s">
        <v>237</v>
      </c>
      <c r="B13" s="14" t="n">
        <v>6</v>
      </c>
      <c r="C13" s="14" t="s">
        <v>236</v>
      </c>
    </row>
    <row r="14" customFormat="false" ht="15" hidden="false" customHeight="false" outlineLevel="0" collapsed="false">
      <c r="A14" s="13" t="s">
        <v>238</v>
      </c>
      <c r="B14" s="14" t="n">
        <v>4</v>
      </c>
      <c r="C14" s="14" t="s">
        <v>236</v>
      </c>
    </row>
    <row r="15" customFormat="false" ht="15" hidden="false" customHeight="false" outlineLevel="0" collapsed="false">
      <c r="A15" s="13" t="s">
        <v>239</v>
      </c>
      <c r="B15" s="14" t="n">
        <v>4</v>
      </c>
      <c r="C15" s="14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2" t="s">
        <v>241</v>
      </c>
    </row>
    <row r="3" customFormat="false" ht="15" hidden="false" customHeight="false" outlineLevel="0" collapsed="false">
      <c r="A3" s="1" t="s">
        <v>242</v>
      </c>
      <c r="B3" s="1" t="s">
        <v>219</v>
      </c>
      <c r="C3" s="1" t="s">
        <v>243</v>
      </c>
    </row>
    <row r="4" customFormat="false" ht="15" hidden="false" customHeight="false" outlineLevel="0" collapsed="false">
      <c r="A4" s="13" t="s">
        <v>244</v>
      </c>
      <c r="B4" s="14" t="n">
        <f aca="false">COUNTA('Cleaned Data'!$A$2:$A$91)</f>
        <v>90</v>
      </c>
      <c r="C4" s="14" t="s">
        <v>245</v>
      </c>
    </row>
    <row r="5" customFormat="false" ht="15" hidden="false" customHeight="false" outlineLevel="0" collapsed="false">
      <c r="A5" s="13" t="s">
        <v>246</v>
      </c>
      <c r="B5" s="14" t="n">
        <f aca="false">COUNTIF('Cleaned Data'!$G$2:$G$91,"Approved")</f>
        <v>66</v>
      </c>
      <c r="C5" s="14" t="s">
        <v>247</v>
      </c>
    </row>
    <row r="6" customFormat="false" ht="15" hidden="false" customHeight="false" outlineLevel="0" collapsed="false">
      <c r="A6" s="13" t="s">
        <v>248</v>
      </c>
      <c r="B6" s="14" t="n">
        <f aca="false">COUNTIF('Cleaned Data'!$G$2:$G$91,"Rejected")</f>
        <v>7</v>
      </c>
      <c r="C6" s="14" t="s">
        <v>249</v>
      </c>
    </row>
    <row r="7" customFormat="false" ht="15" hidden="false" customHeight="false" outlineLevel="0" collapsed="false">
      <c r="A7" s="13" t="s">
        <v>250</v>
      </c>
      <c r="B7" s="14" t="n">
        <f aca="false">COUNTIF('Cleaned Data'!$G$2:$G$91,"Pending")</f>
        <v>17</v>
      </c>
      <c r="C7" s="14" t="s">
        <v>251</v>
      </c>
    </row>
    <row r="8" customFormat="false" ht="15" hidden="false" customHeight="false" outlineLevel="0" collapsed="false">
      <c r="A8" s="13" t="s">
        <v>252</v>
      </c>
      <c r="B8" s="14" t="n">
        <f aca="false">ROUND(B5/B4*100,1)</f>
        <v>73.3</v>
      </c>
      <c r="C8" s="14" t="s">
        <v>253</v>
      </c>
    </row>
    <row r="9" customFormat="false" ht="15" hidden="false" customHeight="false" outlineLevel="0" collapsed="false">
      <c r="A9" s="13" t="s">
        <v>254</v>
      </c>
      <c r="B9" s="14" t="n">
        <f aca="false">ROUND(AVERAGE('Cleaned Data'!$H$2:$H$91),1)</f>
        <v>7</v>
      </c>
      <c r="C9" s="14" t="s">
        <v>255</v>
      </c>
    </row>
    <row r="10" customFormat="false" ht="15" hidden="false" customHeight="false" outlineLevel="0" collapsed="false">
      <c r="A10" s="13" t="s">
        <v>256</v>
      </c>
      <c r="B10" s="14" t="n">
        <f aca="false">ROUND(AVERAGE('Cleaned Data'!$J$2:$J$91),2)</f>
        <v>3.73</v>
      </c>
      <c r="C10" s="14" t="s">
        <v>257</v>
      </c>
    </row>
    <row r="11" customFormat="false" ht="15" hidden="false" customHeight="false" outlineLevel="0" collapsed="false">
      <c r="A11" s="13" t="s">
        <v>258</v>
      </c>
      <c r="B11" s="14" t="n">
        <f aca="false">SUM('Cleaned Data'!$I$2:$I$91)</f>
        <v>37345</v>
      </c>
      <c r="C11" s="14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2" t="s">
        <v>260</v>
      </c>
    </row>
    <row r="3" customFormat="false" ht="15" hidden="false" customHeight="false" outlineLevel="0" collapsed="false">
      <c r="A3" s="2" t="s">
        <v>261</v>
      </c>
    </row>
    <row r="4" customFormat="false" ht="15" hidden="false" customHeight="false" outlineLevel="0" collapsed="false">
      <c r="A4" s="1" t="s">
        <v>2</v>
      </c>
      <c r="B4" s="1" t="s">
        <v>262</v>
      </c>
    </row>
    <row r="5" customFormat="false" ht="15" hidden="false" customHeight="false" outlineLevel="0" collapsed="false">
      <c r="A5" s="14" t="s">
        <v>20</v>
      </c>
      <c r="B5" s="14" t="n">
        <f aca="false">COUNTIF('Cleaned Data'!$C$2:$C$91,A5)</f>
        <v>26</v>
      </c>
    </row>
    <row r="6" customFormat="false" ht="15" hidden="false" customHeight="false" outlineLevel="0" collapsed="false">
      <c r="A6" s="14" t="s">
        <v>13</v>
      </c>
      <c r="B6" s="14" t="n">
        <f aca="false">COUNTIF('Cleaned Data'!$C$2:$C$91,A6)</f>
        <v>22</v>
      </c>
    </row>
    <row r="7" customFormat="false" ht="15" hidden="false" customHeight="false" outlineLevel="0" collapsed="false">
      <c r="A7" s="14" t="s">
        <v>29</v>
      </c>
      <c r="B7" s="14" t="n">
        <f aca="false">COUNTIF('Cleaned Data'!$C$2:$C$91,A7)</f>
        <v>19</v>
      </c>
    </row>
    <row r="8" customFormat="false" ht="15" hidden="false" customHeight="false" outlineLevel="0" collapsed="false">
      <c r="A8" s="14" t="s">
        <v>56</v>
      </c>
      <c r="B8" s="14" t="n">
        <f aca="false">COUNTIF('Cleaned Data'!$C$2:$C$91,A8)</f>
        <v>12</v>
      </c>
    </row>
    <row r="9" customFormat="false" ht="15" hidden="false" customHeight="false" outlineLevel="0" collapsed="false">
      <c r="A9" s="14" t="s">
        <v>39</v>
      </c>
      <c r="B9" s="14" t="n">
        <f aca="false">COUNTIF('Cleaned Data'!$C$2:$C$91,A9)</f>
        <v>11</v>
      </c>
    </row>
    <row r="12" customFormat="false" ht="15" hidden="false" customHeight="false" outlineLevel="0" collapsed="false">
      <c r="A12" s="2" t="s">
        <v>263</v>
      </c>
    </row>
    <row r="13" customFormat="false" ht="15" hidden="false" customHeight="false" outlineLevel="0" collapsed="false">
      <c r="A13" s="1" t="s">
        <v>6</v>
      </c>
      <c r="B13" s="1" t="s">
        <v>262</v>
      </c>
    </row>
    <row r="14" customFormat="false" ht="15" hidden="false" customHeight="false" outlineLevel="0" collapsed="false">
      <c r="A14" s="14" t="s">
        <v>16</v>
      </c>
      <c r="B14" s="14" t="n">
        <f aca="false">COUNTIF('Cleaned Data'!$G$2:$G$91,A14)</f>
        <v>66</v>
      </c>
    </row>
    <row r="15" customFormat="false" ht="15" hidden="false" customHeight="false" outlineLevel="0" collapsed="false">
      <c r="A15" s="14" t="s">
        <v>26</v>
      </c>
      <c r="B15" s="14" t="n">
        <f aca="false">COUNTIF('Cleaned Data'!$G$2:$G$91,A15)</f>
        <v>7</v>
      </c>
    </row>
    <row r="16" customFormat="false" ht="15" hidden="false" customHeight="false" outlineLevel="0" collapsed="false">
      <c r="A16" s="14" t="s">
        <v>93</v>
      </c>
      <c r="B16" s="14" t="n">
        <f aca="false">COUNTIF('Cleaned Data'!$G$2:$G$91,A16)</f>
        <v>17</v>
      </c>
    </row>
    <row r="18" customFormat="false" ht="15" hidden="false" customHeight="false" outlineLevel="0" collapsed="false">
      <c r="A18" s="2" t="s">
        <v>264</v>
      </c>
    </row>
    <row r="19" customFormat="false" ht="15" hidden="false" customHeight="false" outlineLevel="0" collapsed="false">
      <c r="A19" s="1" t="s">
        <v>265</v>
      </c>
      <c r="B19" s="1" t="s">
        <v>262</v>
      </c>
    </row>
    <row r="20" customFormat="false" ht="15" hidden="false" customHeight="false" outlineLevel="0" collapsed="false">
      <c r="A20" s="14" t="s">
        <v>266</v>
      </c>
      <c r="B20" s="14" t="n">
        <f aca="false">COUNTIFS('Cleaned Data'!$F$2:$F$91,"&gt;="&amp;DATE(2026,1,1),'Cleaned Data'!$F$2:$F$91,"&lt;"&amp;DATE(2026,2,1))</f>
        <v>5</v>
      </c>
    </row>
    <row r="21" customFormat="false" ht="15" hidden="false" customHeight="false" outlineLevel="0" collapsed="false">
      <c r="A21" s="14" t="s">
        <v>267</v>
      </c>
      <c r="B21" s="14" t="n">
        <f aca="false">COUNTIFS('Cleaned Data'!$F$2:$F$91,"&gt;="&amp;DATE(2026,2,1),'Cleaned Data'!$F$2:$F$91,"&lt;"&amp;DATE(2026,3,1))</f>
        <v>17</v>
      </c>
    </row>
    <row r="22" customFormat="false" ht="15" hidden="false" customHeight="false" outlineLevel="0" collapsed="false">
      <c r="A22" s="14" t="s">
        <v>268</v>
      </c>
      <c r="B22" s="14" t="n">
        <f aca="false">COUNTIFS('Cleaned Data'!$F$2:$F$91,"&gt;="&amp;DATE(2026,3,1),'Cleaned Data'!$F$2:$F$91,"&lt;"&amp;DATE(2026,4,1))</f>
        <v>12</v>
      </c>
    </row>
    <row r="23" customFormat="false" ht="15" hidden="false" customHeight="false" outlineLevel="0" collapsed="false">
      <c r="A23" s="14" t="s">
        <v>269</v>
      </c>
      <c r="B23" s="14" t="n">
        <f aca="false">COUNTIFS('Cleaned Data'!$F$2:$F$91,"&gt;="&amp;DATE(2026,4,1),'Cleaned Data'!$F$2:$F$91,"&lt;"&amp;DATE(2026,5,1))</f>
        <v>7</v>
      </c>
    </row>
    <row r="24" customFormat="false" ht="15" hidden="false" customHeight="false" outlineLevel="0" collapsed="false">
      <c r="A24" s="14" t="s">
        <v>270</v>
      </c>
      <c r="B24" s="14" t="n">
        <f aca="false">COUNTIFS('Cleaned Data'!$F$2:$F$91,"&gt;="&amp;DATE(2026,5,1),'Cleaned Data'!$F$2:$F$91,"&lt;"&amp;DATE(2026,6,1))</f>
        <v>12</v>
      </c>
    </row>
    <row r="25" customFormat="false" ht="15" hidden="false" customHeight="false" outlineLevel="0" collapsed="false">
      <c r="A25" s="14" t="s">
        <v>271</v>
      </c>
      <c r="B25" s="14" t="n">
        <f aca="false">COUNTIFS('Cleaned Data'!$F$2:$F$91,"&gt;="&amp;DATE(2026,6,1),'Cleaned Data'!$F$2:$F$91,"&lt;"&amp;DATE(2026,7,1))</f>
        <v>7</v>
      </c>
    </row>
    <row r="26" customFormat="false" ht="15" hidden="false" customHeight="false" outlineLevel="0" collapsed="false">
      <c r="A26" s="14" t="s">
        <v>272</v>
      </c>
      <c r="B26" s="14" t="n">
        <f aca="false">COUNTIFS('Cleaned Data'!$F$2:$F$91,"&gt;="&amp;DATE(2026,7,1),'Cleaned Data'!$F$2:$F$91,"&lt;"&amp;DATE(2026,8,1))</f>
        <v>12</v>
      </c>
    </row>
    <row r="27" customFormat="false" ht="15" hidden="false" customHeight="false" outlineLevel="0" collapsed="false">
      <c r="A27" s="14" t="s">
        <v>273</v>
      </c>
      <c r="B27" s="14" t="n">
        <f aca="false">COUNTIFS('Cleaned Data'!$F$2:$F$91,"&gt;="&amp;DATE(2026,8,1),'Cleaned Data'!$F$2:$F$91,"&lt;"&amp;DATE(2026,9,1))</f>
        <v>18</v>
      </c>
    </row>
    <row r="30" customFormat="false" ht="15" hidden="false" customHeight="false" outlineLevel="0" collapsed="false">
      <c r="A30" s="2" t="s">
        <v>274</v>
      </c>
    </row>
    <row r="31" customFormat="false" ht="15" hidden="false" customHeight="false" outlineLevel="0" collapsed="false">
      <c r="A31" s="1" t="s">
        <v>275</v>
      </c>
      <c r="B31" s="1" t="s">
        <v>262</v>
      </c>
    </row>
    <row r="32" customFormat="false" ht="15" hidden="false" customHeight="false" outlineLevel="0" collapsed="false">
      <c r="A32" s="14" t="s">
        <v>43</v>
      </c>
      <c r="B32" s="14" t="n">
        <f aca="false">COUNTIF('Cleaned Data'!$D$2:$D$91,A32)</f>
        <v>21</v>
      </c>
    </row>
    <row r="33" customFormat="false" ht="15" hidden="false" customHeight="false" outlineLevel="0" collapsed="false">
      <c r="A33" s="14" t="s">
        <v>25</v>
      </c>
      <c r="B33" s="14" t="n">
        <f aca="false">COUNTIF('Cleaned Data'!$D$2:$D$91,A33)</f>
        <v>16</v>
      </c>
    </row>
    <row r="34" customFormat="false" ht="15" hidden="false" customHeight="false" outlineLevel="0" collapsed="false">
      <c r="A34" s="14" t="s">
        <v>21</v>
      </c>
      <c r="B34" s="14" t="n">
        <f aca="false">COUNTIF('Cleaned Data'!$D$2:$D$91,A34)</f>
        <v>12</v>
      </c>
    </row>
    <row r="35" customFormat="false" ht="15" hidden="false" customHeight="false" outlineLevel="0" collapsed="false">
      <c r="A35" s="14" t="s">
        <v>33</v>
      </c>
      <c r="B35" s="14" t="n">
        <f aca="false">COUNTIF('Cleaned Data'!$D$2:$D$91,A35)</f>
        <v>12</v>
      </c>
    </row>
    <row r="36" customFormat="false" ht="15" hidden="false" customHeight="false" outlineLevel="0" collapsed="false">
      <c r="A36" s="14" t="s">
        <v>69</v>
      </c>
      <c r="B36" s="14" t="n">
        <f aca="false">COUNTIF('Cleaned Data'!$D$2:$D$91,A36)</f>
        <v>10</v>
      </c>
    </row>
    <row r="37" customFormat="false" ht="15" hidden="false" customHeight="false" outlineLevel="0" collapsed="false">
      <c r="A37" s="14" t="s">
        <v>14</v>
      </c>
      <c r="B37" s="14" t="n">
        <f aca="false">COUNTIF('Cleaned Data'!$D$2:$D$91,A37)</f>
        <v>9</v>
      </c>
    </row>
    <row r="38" customFormat="false" ht="15" hidden="false" customHeight="false" outlineLevel="0" collapsed="false">
      <c r="A38" s="14" t="s">
        <v>72</v>
      </c>
      <c r="B38" s="14" t="n">
        <f aca="false">COUNTIF('Cleaned Data'!$D$2:$D$91,A38)</f>
        <v>6</v>
      </c>
    </row>
    <row r="39" customFormat="false" ht="15" hidden="false" customHeight="false" outlineLevel="0" collapsed="false">
      <c r="A39" s="14" t="s">
        <v>96</v>
      </c>
      <c r="B39" s="14" t="n">
        <f aca="false">COUNTIF('Cleaned Data'!$D$2:$D$91,A39)</f>
        <v>4</v>
      </c>
    </row>
    <row r="41" customFormat="false" ht="15" hidden="false" customHeight="false" outlineLevel="0" collapsed="false">
      <c r="A41" s="2" t="s">
        <v>276</v>
      </c>
    </row>
    <row r="42" customFormat="false" ht="15" hidden="false" customHeight="false" outlineLevel="0" collapsed="false">
      <c r="A42" s="1" t="s">
        <v>275</v>
      </c>
      <c r="B42" s="1" t="s">
        <v>277</v>
      </c>
    </row>
    <row r="43" customFormat="false" ht="15" hidden="false" customHeight="false" outlineLevel="0" collapsed="false">
      <c r="A43" s="14" t="s">
        <v>43</v>
      </c>
      <c r="B43" s="15" t="n">
        <f aca="false">ROUND(AVERAGEIF('Cleaned Data'!$D$2:$D$91,A43,'Cleaned Data'!$H$2:$H$91),1)</f>
        <v>4.4</v>
      </c>
    </row>
    <row r="44" customFormat="false" ht="15" hidden="false" customHeight="false" outlineLevel="0" collapsed="false">
      <c r="A44" s="14" t="s">
        <v>25</v>
      </c>
      <c r="B44" s="15" t="n">
        <f aca="false">ROUND(AVERAGEIF('Cleaned Data'!$D$2:$D$91,A44,'Cleaned Data'!$H$2:$H$91),1)</f>
        <v>5.8</v>
      </c>
    </row>
    <row r="45" customFormat="false" ht="15" hidden="false" customHeight="false" outlineLevel="0" collapsed="false">
      <c r="A45" s="14" t="s">
        <v>21</v>
      </c>
      <c r="B45" s="15" t="n">
        <f aca="false">ROUND(AVERAGEIF('Cleaned Data'!$D$2:$D$91,A45,'Cleaned Data'!$H$2:$H$91),1)</f>
        <v>11.8</v>
      </c>
    </row>
    <row r="46" customFormat="false" ht="15" hidden="false" customHeight="false" outlineLevel="0" collapsed="false">
      <c r="A46" s="14" t="s">
        <v>33</v>
      </c>
      <c r="B46" s="15" t="n">
        <f aca="false">ROUND(AVERAGEIF('Cleaned Data'!$D$2:$D$91,A46,'Cleaned Data'!$H$2:$H$91),1)</f>
        <v>6.7</v>
      </c>
    </row>
    <row r="47" customFormat="false" ht="15" hidden="false" customHeight="false" outlineLevel="0" collapsed="false">
      <c r="A47" s="14" t="s">
        <v>69</v>
      </c>
      <c r="B47" s="15" t="n">
        <f aca="false">ROUND(AVERAGEIF('Cleaned Data'!$D$2:$D$91,A47,'Cleaned Data'!$H$2:$H$91),1)</f>
        <v>8.7</v>
      </c>
    </row>
    <row r="48" customFormat="false" ht="15" hidden="false" customHeight="false" outlineLevel="0" collapsed="false">
      <c r="A48" s="14" t="s">
        <v>14</v>
      </c>
      <c r="B48" s="15" t="n">
        <f aca="false">ROUND(AVERAGEIF('Cleaned Data'!$D$2:$D$91,A48,'Cleaned Data'!$H$2:$H$91),1)</f>
        <v>4.4</v>
      </c>
    </row>
    <row r="49" customFormat="false" ht="15" hidden="false" customHeight="false" outlineLevel="0" collapsed="false">
      <c r="A49" s="14" t="s">
        <v>72</v>
      </c>
      <c r="B49" s="15" t="n">
        <f aca="false">ROUND(AVERAGEIF('Cleaned Data'!$D$2:$D$91,A49,'Cleaned Data'!$H$2:$H$91),1)</f>
        <v>6.5</v>
      </c>
    </row>
    <row r="50" customFormat="false" ht="15" hidden="false" customHeight="false" outlineLevel="0" collapsed="false">
      <c r="A50" s="14" t="s">
        <v>96</v>
      </c>
      <c r="B50" s="15" t="n">
        <f aca="false">ROUND(AVERAGEIF('Cleaned Data'!$D$2:$D$91,A50,'Cleaned Data'!$H$2:$H$91),1)</f>
        <v>13.8</v>
      </c>
    </row>
    <row r="52" customFormat="false" ht="15" hidden="false" customHeight="false" outlineLevel="0" collapsed="false">
      <c r="A52" s="2" t="s">
        <v>278</v>
      </c>
    </row>
    <row r="53" customFormat="false" ht="15" hidden="false" customHeight="false" outlineLevel="0" collapsed="false">
      <c r="A53" s="1" t="s">
        <v>279</v>
      </c>
      <c r="B53" s="1" t="s">
        <v>262</v>
      </c>
    </row>
    <row r="54" customFormat="false" ht="15" hidden="false" customHeight="false" outlineLevel="0" collapsed="false">
      <c r="A54" s="14" t="s">
        <v>15</v>
      </c>
      <c r="B54" s="14" t="n">
        <f aca="false">COUNTIF('Cleaned Data'!$E$2:$E$91,A54)</f>
        <v>39</v>
      </c>
    </row>
    <row r="55" customFormat="false" ht="15" hidden="false" customHeight="false" outlineLevel="0" collapsed="false">
      <c r="A55" s="14" t="s">
        <v>30</v>
      </c>
      <c r="B55" s="14" t="n">
        <f aca="false">COUNTIF('Cleaned Data'!$E$2:$E$91,A55)</f>
        <v>26</v>
      </c>
    </row>
    <row r="56" customFormat="false" ht="15" hidden="false" customHeight="false" outlineLevel="0" collapsed="false">
      <c r="A56" s="14" t="s">
        <v>34</v>
      </c>
      <c r="B56" s="14" t="n">
        <f aca="false">COUNTIF('Cleaned Data'!$E$2:$E$91,A56)</f>
        <v>25</v>
      </c>
    </row>
    <row r="58" customFormat="false" ht="15" hidden="false" customHeight="false" outlineLevel="0" collapsed="false">
      <c r="A58" s="2" t="s">
        <v>280</v>
      </c>
    </row>
    <row r="59" customFormat="false" ht="15" hidden="false" customHeight="false" outlineLevel="0" collapsed="false">
      <c r="A59" s="1" t="s">
        <v>2</v>
      </c>
      <c r="B59" s="1" t="s">
        <v>281</v>
      </c>
    </row>
    <row r="60" customFormat="false" ht="15" hidden="false" customHeight="false" outlineLevel="0" collapsed="false">
      <c r="A60" s="14" t="s">
        <v>20</v>
      </c>
      <c r="B60" s="16" t="n">
        <f aca="false">ROUND(AVERAGEIF('Cleaned Data'!$C$2:$C$91,A60,'Cleaned Data'!$J$2:$J$91),2)</f>
        <v>3.77</v>
      </c>
    </row>
    <row r="61" customFormat="false" ht="15" hidden="false" customHeight="false" outlineLevel="0" collapsed="false">
      <c r="A61" s="14" t="s">
        <v>13</v>
      </c>
      <c r="B61" s="16" t="n">
        <f aca="false">ROUND(AVERAGEIF('Cleaned Data'!$C$2:$C$91,A61,'Cleaned Data'!$J$2:$J$91),2)</f>
        <v>3.86</v>
      </c>
    </row>
    <row r="62" customFormat="false" ht="15" hidden="false" customHeight="false" outlineLevel="0" collapsed="false">
      <c r="A62" s="14" t="s">
        <v>29</v>
      </c>
      <c r="B62" s="16" t="n">
        <f aca="false">ROUND(AVERAGEIF('Cleaned Data'!$C$2:$C$91,A62,'Cleaned Data'!$J$2:$J$91),2)</f>
        <v>3.47</v>
      </c>
    </row>
    <row r="63" customFormat="false" ht="15" hidden="false" customHeight="false" outlineLevel="0" collapsed="false">
      <c r="A63" s="14" t="s">
        <v>56</v>
      </c>
      <c r="B63" s="16" t="n">
        <f aca="false">ROUND(AVERAGEIF('Cleaned Data'!$C$2:$C$91,A63,'Cleaned Data'!$J$2:$J$91),2)</f>
        <v>3.75</v>
      </c>
    </row>
    <row r="64" customFormat="false" ht="15" hidden="false" customHeight="false" outlineLevel="0" collapsed="false">
      <c r="A64" s="14" t="s">
        <v>39</v>
      </c>
      <c r="B64" s="16" t="n">
        <f aca="false">ROUND(AVERAGEIF('Cleaned Data'!$C$2:$C$91,A64,'Cleaned Data'!$J$2:$J$91),2)</f>
        <v>3.82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24.45" hidden="false" customHeight="false" outlineLevel="0" collapsed="false">
      <c r="A1" s="17" t="s">
        <v>282</v>
      </c>
    </row>
    <row r="2" customFormat="false" ht="15" hidden="false" customHeight="false" outlineLevel="0" collapsed="false">
      <c r="A2" s="18" t="s">
        <v>283</v>
      </c>
    </row>
    <row r="4" customFormat="false" ht="15" hidden="false" customHeight="false" outlineLevel="0" collapsed="false">
      <c r="A4" s="19" t="s">
        <v>244</v>
      </c>
      <c r="B4" s="19"/>
      <c r="C4" s="19" t="s">
        <v>252</v>
      </c>
      <c r="D4" s="19"/>
      <c r="E4" s="19" t="s">
        <v>16</v>
      </c>
      <c r="F4" s="19"/>
      <c r="G4" s="19" t="s">
        <v>26</v>
      </c>
      <c r="H4" s="19"/>
      <c r="I4" s="19" t="s">
        <v>93</v>
      </c>
      <c r="J4" s="19"/>
      <c r="K4" s="19" t="s">
        <v>284</v>
      </c>
      <c r="L4" s="19"/>
      <c r="M4" s="19" t="s">
        <v>285</v>
      </c>
      <c r="N4" s="19"/>
    </row>
    <row r="5" customFormat="false" ht="15" hidden="false" customHeight="false" outlineLevel="0" collapsed="false">
      <c r="A5" s="20" t="n">
        <f aca="false">Calculations!B4</f>
        <v>90</v>
      </c>
      <c r="B5" s="20"/>
      <c r="C5" s="20" t="n">
        <f aca="false">Calculations!B8</f>
        <v>73.3</v>
      </c>
      <c r="D5" s="20"/>
      <c r="E5" s="20" t="n">
        <f aca="false">Calculations!B5</f>
        <v>66</v>
      </c>
      <c r="F5" s="20"/>
      <c r="G5" s="20" t="n">
        <f aca="false">Calculations!B6</f>
        <v>7</v>
      </c>
      <c r="H5" s="20"/>
      <c r="I5" s="20" t="n">
        <f aca="false">Calculations!B7</f>
        <v>17</v>
      </c>
      <c r="J5" s="20"/>
      <c r="K5" s="20" t="n">
        <f aca="false">Calculations!B9</f>
        <v>7</v>
      </c>
      <c r="L5" s="20"/>
      <c r="M5" s="20" t="n">
        <f aca="false">Calculations!B10</f>
        <v>3.73</v>
      </c>
      <c r="N5" s="20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</sheetData>
  <mergeCells count="14">
    <mergeCell ref="A4:B4"/>
    <mergeCell ref="C4:D4"/>
    <mergeCell ref="E4:F4"/>
    <mergeCell ref="G4:H4"/>
    <mergeCell ref="I4:J4"/>
    <mergeCell ref="K4:L4"/>
    <mergeCell ref="M4:N4"/>
    <mergeCell ref="A5:B6"/>
    <mergeCell ref="C5:D6"/>
    <mergeCell ref="E5:F6"/>
    <mergeCell ref="G5:H6"/>
    <mergeCell ref="I5:J6"/>
    <mergeCell ref="K5:L6"/>
    <mergeCell ref="M5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2026-10-05T06:33:52Z</dcterms:created>
  <dc:creator>openpyxl</dc:creator>
  <dc:description/>
  <dc:language>en-US</dc:language>
  <cp:lastModifiedBy/>
  <dcterms:modified xsi:type="dcterms:W3CDTF">2026-10-05T06:33:53Z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